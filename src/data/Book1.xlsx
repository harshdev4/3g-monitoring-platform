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6ECBB351-3A8C-47F6-A8C7-F9A62EB2EB90}" xr6:coauthVersionLast="47" xr6:coauthVersionMax="47" xr10:uidLastSave="{00000000-0000-0000-0000-000000000000}"/>
  <bookViews>
    <workbookView xWindow="-108" yWindow="-108" windowWidth="23256" windowHeight="12456" xr2:uid="{0BE7CCD3-D73D-4E3A-8F29-15137E9828BF}"/>
  </bookViews>
  <sheets>
    <sheet name="Master (2)" sheetId="1" r:id="rId1"/>
  </sheets>
  <externalReferences>
    <externalReference r:id="rId2"/>
  </externalReferences>
  <definedNames>
    <definedName name="_xlnm._FilterDatabase" localSheetId="0" hidden="1">'Master (2)'!$A$4:$R$64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4" i="1" l="1"/>
  <c r="N64" i="1"/>
  <c r="R64" i="1" s="1"/>
  <c r="S64" i="1" s="1"/>
  <c r="K64" i="1"/>
  <c r="I64" i="1"/>
  <c r="J64" i="1" s="1"/>
  <c r="E64" i="1"/>
  <c r="F64" i="1" s="1"/>
  <c r="P63" i="1"/>
  <c r="N63" i="1"/>
  <c r="R63" i="1" s="1"/>
  <c r="S63" i="1" s="1"/>
  <c r="K63" i="1"/>
  <c r="I63" i="1"/>
  <c r="J63" i="1" s="1"/>
  <c r="E63" i="1"/>
  <c r="F63" i="1" s="1"/>
  <c r="R62" i="1"/>
  <c r="S62" i="1" s="1"/>
  <c r="P62" i="1"/>
  <c r="N62" i="1"/>
  <c r="O62" i="1" s="1"/>
  <c r="K62" i="1"/>
  <c r="I62" i="1"/>
  <c r="J62" i="1" s="1"/>
  <c r="E62" i="1"/>
  <c r="F62" i="1" s="1"/>
  <c r="Q62" i="1" s="1"/>
  <c r="R61" i="1"/>
  <c r="S61" i="1" s="1"/>
  <c r="P61" i="1"/>
  <c r="N61" i="1"/>
  <c r="O61" i="1" s="1"/>
  <c r="Q61" i="1" s="1"/>
  <c r="K61" i="1"/>
  <c r="I61" i="1"/>
  <c r="J61" i="1" s="1"/>
  <c r="E61" i="1"/>
  <c r="F61" i="1" s="1"/>
  <c r="R60" i="1"/>
  <c r="S60" i="1" s="1"/>
  <c r="P60" i="1"/>
  <c r="O60" i="1" s="1"/>
  <c r="N60" i="1"/>
  <c r="K60" i="1"/>
  <c r="I60" i="1"/>
  <c r="J60" i="1" s="1"/>
  <c r="E60" i="1"/>
  <c r="F60" i="1" s="1"/>
  <c r="Q60" i="1" s="1"/>
  <c r="R59" i="1"/>
  <c r="S59" i="1" s="1"/>
  <c r="Q59" i="1"/>
  <c r="P59" i="1"/>
  <c r="O59" i="1"/>
  <c r="N59" i="1"/>
  <c r="K59" i="1"/>
  <c r="I59" i="1"/>
  <c r="J59" i="1" s="1"/>
  <c r="E59" i="1"/>
  <c r="F59" i="1" s="1"/>
  <c r="P58" i="1"/>
  <c r="N58" i="1"/>
  <c r="R58" i="1" s="1"/>
  <c r="S58" i="1" s="1"/>
  <c r="K58" i="1"/>
  <c r="I58" i="1"/>
  <c r="J58" i="1" s="1"/>
  <c r="E58" i="1"/>
  <c r="F58" i="1" s="1"/>
  <c r="P57" i="1"/>
  <c r="N57" i="1"/>
  <c r="R57" i="1" s="1"/>
  <c r="S57" i="1" s="1"/>
  <c r="K57" i="1"/>
  <c r="J57" i="1" s="1"/>
  <c r="I57" i="1"/>
  <c r="E57" i="1"/>
  <c r="F57" i="1" s="1"/>
  <c r="P56" i="1"/>
  <c r="N56" i="1"/>
  <c r="K56" i="1"/>
  <c r="J56" i="1"/>
  <c r="I56" i="1"/>
  <c r="E56" i="1"/>
  <c r="F56" i="1" s="1"/>
  <c r="P55" i="1"/>
  <c r="N55" i="1"/>
  <c r="K55" i="1"/>
  <c r="I55" i="1"/>
  <c r="J55" i="1" s="1"/>
  <c r="E55" i="1"/>
  <c r="F55" i="1" s="1"/>
  <c r="P54" i="1"/>
  <c r="N54" i="1"/>
  <c r="K54" i="1"/>
  <c r="I54" i="1"/>
  <c r="J54" i="1" s="1"/>
  <c r="F54" i="1"/>
  <c r="E54" i="1"/>
  <c r="P53" i="1"/>
  <c r="N53" i="1"/>
  <c r="O53" i="1" s="1"/>
  <c r="K53" i="1"/>
  <c r="I53" i="1"/>
  <c r="J53" i="1" s="1"/>
  <c r="E53" i="1"/>
  <c r="F53" i="1" s="1"/>
  <c r="Q53" i="1" s="1"/>
  <c r="P52" i="1"/>
  <c r="O52" i="1"/>
  <c r="N52" i="1"/>
  <c r="R52" i="1" s="1"/>
  <c r="S52" i="1" s="1"/>
  <c r="K52" i="1"/>
  <c r="J52" i="1"/>
  <c r="I52" i="1"/>
  <c r="E52" i="1"/>
  <c r="F52" i="1" s="1"/>
  <c r="Q52" i="1" s="1"/>
  <c r="P51" i="1"/>
  <c r="N51" i="1"/>
  <c r="R51" i="1" s="1"/>
  <c r="S51" i="1" s="1"/>
  <c r="K51" i="1"/>
  <c r="I51" i="1"/>
  <c r="J51" i="1" s="1"/>
  <c r="E51" i="1"/>
  <c r="F51" i="1" s="1"/>
  <c r="R50" i="1"/>
  <c r="S50" i="1" s="1"/>
  <c r="P50" i="1"/>
  <c r="N50" i="1"/>
  <c r="O50" i="1" s="1"/>
  <c r="K50" i="1"/>
  <c r="J50" i="1"/>
  <c r="I50" i="1"/>
  <c r="E50" i="1"/>
  <c r="F50" i="1" s="1"/>
  <c r="Q50" i="1" s="1"/>
  <c r="R49" i="1"/>
  <c r="S49" i="1" s="1"/>
  <c r="P49" i="1"/>
  <c r="N49" i="1"/>
  <c r="O49" i="1" s="1"/>
  <c r="K49" i="1"/>
  <c r="I49" i="1"/>
  <c r="J49" i="1" s="1"/>
  <c r="Q49" i="1" s="1"/>
  <c r="E49" i="1"/>
  <c r="F49" i="1" s="1"/>
  <c r="R48" i="1"/>
  <c r="S48" i="1" s="1"/>
  <c r="P48" i="1"/>
  <c r="O48" i="1" s="1"/>
  <c r="N48" i="1"/>
  <c r="K48" i="1"/>
  <c r="I48" i="1"/>
  <c r="J48" i="1" s="1"/>
  <c r="E48" i="1"/>
  <c r="F48" i="1" s="1"/>
  <c r="Q48" i="1" s="1"/>
  <c r="R47" i="1"/>
  <c r="S47" i="1" s="1"/>
  <c r="P47" i="1"/>
  <c r="O47" i="1"/>
  <c r="Q47" i="1" s="1"/>
  <c r="N47" i="1"/>
  <c r="K47" i="1"/>
  <c r="I47" i="1"/>
  <c r="J47" i="1" s="1"/>
  <c r="E47" i="1"/>
  <c r="F47" i="1" s="1"/>
  <c r="P46" i="1"/>
  <c r="N46" i="1"/>
  <c r="R46" i="1" s="1"/>
  <c r="S46" i="1" s="1"/>
  <c r="K46" i="1"/>
  <c r="I46" i="1"/>
  <c r="J46" i="1" s="1"/>
  <c r="E46" i="1"/>
  <c r="F46" i="1" s="1"/>
  <c r="P45" i="1"/>
  <c r="O45" i="1"/>
  <c r="N45" i="1"/>
  <c r="R45" i="1" s="1"/>
  <c r="S45" i="1" s="1"/>
  <c r="K45" i="1"/>
  <c r="J45" i="1" s="1"/>
  <c r="I45" i="1"/>
  <c r="E45" i="1"/>
  <c r="F45" i="1" s="1"/>
  <c r="P44" i="1"/>
  <c r="N44" i="1"/>
  <c r="R44" i="1" s="1"/>
  <c r="S44" i="1" s="1"/>
  <c r="K44" i="1"/>
  <c r="J44" i="1"/>
  <c r="I44" i="1"/>
  <c r="E44" i="1"/>
  <c r="F44" i="1" s="1"/>
  <c r="P43" i="1"/>
  <c r="N43" i="1"/>
  <c r="K43" i="1"/>
  <c r="I43" i="1"/>
  <c r="J43" i="1" s="1"/>
  <c r="E43" i="1"/>
  <c r="F43" i="1" s="1"/>
  <c r="P42" i="1"/>
  <c r="N42" i="1"/>
  <c r="K42" i="1"/>
  <c r="I42" i="1"/>
  <c r="J42" i="1" s="1"/>
  <c r="F42" i="1"/>
  <c r="E42" i="1"/>
  <c r="P41" i="1"/>
  <c r="N41" i="1"/>
  <c r="O41" i="1" s="1"/>
  <c r="K41" i="1"/>
  <c r="I41" i="1"/>
  <c r="J41" i="1" s="1"/>
  <c r="E41" i="1"/>
  <c r="F41" i="1" s="1"/>
  <c r="Q41" i="1" s="1"/>
  <c r="P40" i="1"/>
  <c r="N40" i="1"/>
  <c r="K40" i="1"/>
  <c r="I40" i="1"/>
  <c r="J40" i="1" s="1"/>
  <c r="F40" i="1"/>
  <c r="E40" i="1"/>
  <c r="P39" i="1"/>
  <c r="N39" i="1"/>
  <c r="R39" i="1" s="1"/>
  <c r="S39" i="1" s="1"/>
  <c r="K39" i="1"/>
  <c r="I39" i="1"/>
  <c r="J39" i="1" s="1"/>
  <c r="E39" i="1"/>
  <c r="F39" i="1" s="1"/>
  <c r="R38" i="1"/>
  <c r="S38" i="1" s="1"/>
  <c r="P38" i="1"/>
  <c r="N38" i="1"/>
  <c r="O38" i="1" s="1"/>
  <c r="K38" i="1"/>
  <c r="I38" i="1"/>
  <c r="J38" i="1" s="1"/>
  <c r="E38" i="1"/>
  <c r="F38" i="1" s="1"/>
  <c r="R37" i="1"/>
  <c r="S37" i="1" s="1"/>
  <c r="P37" i="1"/>
  <c r="N37" i="1"/>
  <c r="O37" i="1" s="1"/>
  <c r="K37" i="1"/>
  <c r="I37" i="1"/>
  <c r="J37" i="1" s="1"/>
  <c r="E37" i="1"/>
  <c r="F37" i="1" s="1"/>
  <c r="Q37" i="1" s="1"/>
  <c r="S36" i="1"/>
  <c r="R36" i="1"/>
  <c r="P36" i="1"/>
  <c r="O36" i="1" s="1"/>
  <c r="N36" i="1"/>
  <c r="K36" i="1"/>
  <c r="I36" i="1"/>
  <c r="J36" i="1" s="1"/>
  <c r="E36" i="1"/>
  <c r="F36" i="1" s="1"/>
  <c r="Q36" i="1" s="1"/>
  <c r="R35" i="1"/>
  <c r="S35" i="1" s="1"/>
  <c r="P35" i="1"/>
  <c r="O35" i="1"/>
  <c r="Q35" i="1" s="1"/>
  <c r="N35" i="1"/>
  <c r="K35" i="1"/>
  <c r="I35" i="1"/>
  <c r="J35" i="1" s="1"/>
  <c r="E35" i="1"/>
  <c r="F35" i="1" s="1"/>
  <c r="P34" i="1"/>
  <c r="N34" i="1"/>
  <c r="R34" i="1" s="1"/>
  <c r="S34" i="1" s="1"/>
  <c r="K34" i="1"/>
  <c r="I34" i="1"/>
  <c r="J34" i="1" s="1"/>
  <c r="E34" i="1"/>
  <c r="F34" i="1" s="1"/>
  <c r="P33" i="1"/>
  <c r="O33" i="1"/>
  <c r="N33" i="1"/>
  <c r="R33" i="1" s="1"/>
  <c r="S33" i="1" s="1"/>
  <c r="K33" i="1"/>
  <c r="J33" i="1" s="1"/>
  <c r="I33" i="1"/>
  <c r="E33" i="1"/>
  <c r="F33" i="1" s="1"/>
  <c r="P32" i="1"/>
  <c r="N32" i="1"/>
  <c r="R32" i="1" s="1"/>
  <c r="S32" i="1" s="1"/>
  <c r="K32" i="1"/>
  <c r="J32" i="1"/>
  <c r="I32" i="1"/>
  <c r="E32" i="1"/>
  <c r="F32" i="1" s="1"/>
  <c r="P31" i="1"/>
  <c r="N31" i="1"/>
  <c r="K31" i="1"/>
  <c r="I31" i="1"/>
  <c r="J31" i="1" s="1"/>
  <c r="E31" i="1"/>
  <c r="F31" i="1" s="1"/>
  <c r="P30" i="1"/>
  <c r="N30" i="1"/>
  <c r="K30" i="1"/>
  <c r="I30" i="1"/>
  <c r="J30" i="1" s="1"/>
  <c r="F30" i="1"/>
  <c r="E30" i="1"/>
  <c r="P29" i="1"/>
  <c r="N29" i="1"/>
  <c r="O29" i="1" s="1"/>
  <c r="K29" i="1"/>
  <c r="I29" i="1"/>
  <c r="J29" i="1" s="1"/>
  <c r="E29" i="1"/>
  <c r="F29" i="1" s="1"/>
  <c r="Q29" i="1" s="1"/>
  <c r="P28" i="1"/>
  <c r="N28" i="1"/>
  <c r="K28" i="1"/>
  <c r="I28" i="1"/>
  <c r="J28" i="1" s="1"/>
  <c r="F28" i="1"/>
  <c r="E28" i="1"/>
  <c r="P27" i="1"/>
  <c r="N27" i="1"/>
  <c r="R27" i="1" s="1"/>
  <c r="S27" i="1" s="1"/>
  <c r="K27" i="1"/>
  <c r="I27" i="1"/>
  <c r="J27" i="1" s="1"/>
  <c r="E27" i="1"/>
  <c r="F27" i="1" s="1"/>
  <c r="R26" i="1"/>
  <c r="S26" i="1" s="1"/>
  <c r="P26" i="1"/>
  <c r="O26" i="1"/>
  <c r="N26" i="1"/>
  <c r="K26" i="1"/>
  <c r="J26" i="1"/>
  <c r="I26" i="1"/>
  <c r="E26" i="1"/>
  <c r="F26" i="1" s="1"/>
  <c r="Q26" i="1" s="1"/>
  <c r="R25" i="1"/>
  <c r="S25" i="1" s="1"/>
  <c r="P25" i="1"/>
  <c r="N25" i="1"/>
  <c r="O25" i="1" s="1"/>
  <c r="K25" i="1"/>
  <c r="I25" i="1"/>
  <c r="J25" i="1" s="1"/>
  <c r="Q25" i="1" s="1"/>
  <c r="E25" i="1"/>
  <c r="F25" i="1" s="1"/>
  <c r="R24" i="1"/>
  <c r="S24" i="1" s="1"/>
  <c r="P24" i="1"/>
  <c r="O24" i="1" s="1"/>
  <c r="N24" i="1"/>
  <c r="K24" i="1"/>
  <c r="I24" i="1"/>
  <c r="J24" i="1" s="1"/>
  <c r="E24" i="1"/>
  <c r="F24" i="1" s="1"/>
  <c r="Q24" i="1" s="1"/>
  <c r="R23" i="1"/>
  <c r="S23" i="1" s="1"/>
  <c r="P23" i="1"/>
  <c r="O23" i="1" s="1"/>
  <c r="Q23" i="1" s="1"/>
  <c r="N23" i="1"/>
  <c r="K23" i="1"/>
  <c r="I23" i="1"/>
  <c r="J23" i="1" s="1"/>
  <c r="E23" i="1"/>
  <c r="F23" i="1" s="1"/>
  <c r="P22" i="1"/>
  <c r="N22" i="1"/>
  <c r="R22" i="1" s="1"/>
  <c r="S22" i="1" s="1"/>
  <c r="K22" i="1"/>
  <c r="I22" i="1"/>
  <c r="J22" i="1" s="1"/>
  <c r="E22" i="1"/>
  <c r="F22" i="1" s="1"/>
  <c r="P21" i="1"/>
  <c r="O21" i="1"/>
  <c r="N21" i="1"/>
  <c r="R21" i="1" s="1"/>
  <c r="S21" i="1" s="1"/>
  <c r="K21" i="1"/>
  <c r="J21" i="1" s="1"/>
  <c r="I21" i="1"/>
  <c r="E21" i="1"/>
  <c r="F21" i="1" s="1"/>
  <c r="Q21" i="1" s="1"/>
  <c r="P20" i="1"/>
  <c r="N20" i="1"/>
  <c r="R20" i="1" s="1"/>
  <c r="S20" i="1" s="1"/>
  <c r="K20" i="1"/>
  <c r="J20" i="1"/>
  <c r="I20" i="1"/>
  <c r="E20" i="1"/>
  <c r="F20" i="1" s="1"/>
  <c r="P19" i="1"/>
  <c r="N19" i="1"/>
  <c r="K19" i="1"/>
  <c r="I19" i="1"/>
  <c r="J19" i="1" s="1"/>
  <c r="E19" i="1"/>
  <c r="F19" i="1" s="1"/>
  <c r="P18" i="1"/>
  <c r="N18" i="1"/>
  <c r="O18" i="1" s="1"/>
  <c r="K18" i="1"/>
  <c r="I18" i="1"/>
  <c r="J18" i="1" s="1"/>
  <c r="F18" i="1"/>
  <c r="E18" i="1"/>
  <c r="P17" i="1"/>
  <c r="N17" i="1"/>
  <c r="K17" i="1"/>
  <c r="I17" i="1"/>
  <c r="J17" i="1" s="1"/>
  <c r="E17" i="1"/>
  <c r="F17" i="1" s="1"/>
  <c r="P16" i="1"/>
  <c r="N16" i="1"/>
  <c r="O16" i="1" s="1"/>
  <c r="K16" i="1"/>
  <c r="I16" i="1"/>
  <c r="J16" i="1" s="1"/>
  <c r="E16" i="1"/>
  <c r="F16" i="1" s="1"/>
  <c r="Q16" i="1" s="1"/>
  <c r="P15" i="1"/>
  <c r="N15" i="1"/>
  <c r="R15" i="1" s="1"/>
  <c r="S15" i="1" s="1"/>
  <c r="K15" i="1"/>
  <c r="I15" i="1"/>
  <c r="J15" i="1" s="1"/>
  <c r="E15" i="1"/>
  <c r="F15" i="1" s="1"/>
  <c r="R14" i="1"/>
  <c r="S14" i="1" s="1"/>
  <c r="P14" i="1"/>
  <c r="N14" i="1"/>
  <c r="O14" i="1" s="1"/>
  <c r="K14" i="1"/>
  <c r="I14" i="1"/>
  <c r="J14" i="1" s="1"/>
  <c r="E14" i="1"/>
  <c r="F14" i="1" s="1"/>
  <c r="Q14" i="1" s="1"/>
  <c r="R13" i="1"/>
  <c r="S13" i="1" s="1"/>
  <c r="P13" i="1"/>
  <c r="N13" i="1"/>
  <c r="O13" i="1" s="1"/>
  <c r="K13" i="1"/>
  <c r="I13" i="1"/>
  <c r="J13" i="1" s="1"/>
  <c r="Q13" i="1" s="1"/>
  <c r="E13" i="1"/>
  <c r="F13" i="1" s="1"/>
  <c r="R12" i="1"/>
  <c r="S12" i="1" s="1"/>
  <c r="P12" i="1"/>
  <c r="O12" i="1" s="1"/>
  <c r="N12" i="1"/>
  <c r="K12" i="1"/>
  <c r="I12" i="1"/>
  <c r="J12" i="1" s="1"/>
  <c r="E12" i="1"/>
  <c r="F12" i="1" s="1"/>
  <c r="Q12" i="1" s="1"/>
  <c r="R11" i="1"/>
  <c r="S11" i="1" s="1"/>
  <c r="P11" i="1"/>
  <c r="O11" i="1" s="1"/>
  <c r="Q11" i="1" s="1"/>
  <c r="N11" i="1"/>
  <c r="K11" i="1"/>
  <c r="I11" i="1"/>
  <c r="J11" i="1" s="1"/>
  <c r="E11" i="1"/>
  <c r="F11" i="1" s="1"/>
  <c r="P10" i="1"/>
  <c r="N10" i="1"/>
  <c r="R10" i="1" s="1"/>
  <c r="S10" i="1" s="1"/>
  <c r="K10" i="1"/>
  <c r="I10" i="1"/>
  <c r="J10" i="1" s="1"/>
  <c r="E10" i="1"/>
  <c r="F10" i="1" s="1"/>
  <c r="P9" i="1"/>
  <c r="N9" i="1"/>
  <c r="R9" i="1" s="1"/>
  <c r="S9" i="1" s="1"/>
  <c r="K9" i="1"/>
  <c r="J9" i="1" s="1"/>
  <c r="I9" i="1"/>
  <c r="E9" i="1"/>
  <c r="F9" i="1" s="1"/>
  <c r="P8" i="1"/>
  <c r="N8" i="1"/>
  <c r="R8" i="1" s="1"/>
  <c r="S8" i="1" s="1"/>
  <c r="K8" i="1"/>
  <c r="J8" i="1"/>
  <c r="I8" i="1"/>
  <c r="E8" i="1"/>
  <c r="F8" i="1" s="1"/>
  <c r="P7" i="1"/>
  <c r="N7" i="1"/>
  <c r="K7" i="1"/>
  <c r="J7" i="1"/>
  <c r="I7" i="1"/>
  <c r="E7" i="1"/>
  <c r="F7" i="1" s="1"/>
  <c r="P6" i="1"/>
  <c r="N6" i="1"/>
  <c r="O6" i="1" s="1"/>
  <c r="K6" i="1"/>
  <c r="I6" i="1"/>
  <c r="J6" i="1" s="1"/>
  <c r="F6" i="1"/>
  <c r="E6" i="1"/>
  <c r="P5" i="1"/>
  <c r="N5" i="1"/>
  <c r="K5" i="1"/>
  <c r="I5" i="1"/>
  <c r="J5" i="1" s="1"/>
  <c r="E5" i="1"/>
  <c r="F5" i="1" s="1"/>
  <c r="Q64" i="1" l="1"/>
  <c r="Q34" i="1"/>
  <c r="Q28" i="1"/>
  <c r="Q40" i="1"/>
  <c r="Q54" i="1"/>
  <c r="R28" i="1"/>
  <c r="S28" i="1" s="1"/>
  <c r="O8" i="1"/>
  <c r="O10" i="1"/>
  <c r="Q10" i="1" s="1"/>
  <c r="O20" i="1"/>
  <c r="O22" i="1"/>
  <c r="Q22" i="1" s="1"/>
  <c r="R54" i="1"/>
  <c r="S54" i="1" s="1"/>
  <c r="O56" i="1"/>
  <c r="Q56" i="1" s="1"/>
  <c r="R56" i="1"/>
  <c r="S56" i="1" s="1"/>
  <c r="O58" i="1"/>
  <c r="R42" i="1"/>
  <c r="S42" i="1" s="1"/>
  <c r="O32" i="1"/>
  <c r="O34" i="1"/>
  <c r="O44" i="1"/>
  <c r="Q44" i="1" s="1"/>
  <c r="O46" i="1"/>
  <c r="Q46" i="1" s="1"/>
  <c r="Q55" i="1"/>
  <c r="Q57" i="1"/>
  <c r="R5" i="1"/>
  <c r="S5" i="1" s="1"/>
  <c r="R7" i="1"/>
  <c r="S7" i="1" s="1"/>
  <c r="O7" i="1"/>
  <c r="Q7" i="1" s="1"/>
  <c r="Q38" i="1"/>
  <c r="Q58" i="1"/>
  <c r="Q32" i="1"/>
  <c r="R40" i="1"/>
  <c r="S40" i="1" s="1"/>
  <c r="Q19" i="1"/>
  <c r="R30" i="1"/>
  <c r="S30" i="1" s="1"/>
  <c r="Q9" i="1"/>
  <c r="Q43" i="1"/>
  <c r="R17" i="1"/>
  <c r="S17" i="1" s="1"/>
  <c r="Q33" i="1"/>
  <c r="Q45" i="1"/>
  <c r="R19" i="1"/>
  <c r="S19" i="1" s="1"/>
  <c r="O19" i="1"/>
  <c r="O9" i="1"/>
  <c r="R55" i="1"/>
  <c r="S55" i="1" s="1"/>
  <c r="O57" i="1"/>
  <c r="Q31" i="1"/>
  <c r="Q6" i="1"/>
  <c r="Q8" i="1"/>
  <c r="Q18" i="1"/>
  <c r="Q20" i="1"/>
  <c r="O31" i="1"/>
  <c r="R31" i="1"/>
  <c r="S31" i="1" s="1"/>
  <c r="R43" i="1"/>
  <c r="S43" i="1" s="1"/>
  <c r="O43" i="1"/>
  <c r="O55" i="1"/>
  <c r="O28" i="1"/>
  <c r="O40" i="1"/>
  <c r="O15" i="1"/>
  <c r="Q15" i="1" s="1"/>
  <c r="O27" i="1"/>
  <c r="Q27" i="1" s="1"/>
  <c r="O39" i="1"/>
  <c r="Q39" i="1" s="1"/>
  <c r="R29" i="1"/>
  <c r="S29" i="1" s="1"/>
  <c r="R41" i="1"/>
  <c r="S41" i="1" s="1"/>
  <c r="R53" i="1"/>
  <c r="S53" i="1" s="1"/>
  <c r="O5" i="1"/>
  <c r="Q5" i="1" s="1"/>
  <c r="O64" i="1"/>
  <c r="R6" i="1"/>
  <c r="S6" i="1" s="1"/>
  <c r="R18" i="1"/>
  <c r="S18" i="1" s="1"/>
  <c r="O51" i="1"/>
  <c r="Q51" i="1" s="1"/>
  <c r="O63" i="1"/>
  <c r="Q63" i="1" s="1"/>
  <c r="R16" i="1"/>
  <c r="S16" i="1" s="1"/>
  <c r="O30" i="1"/>
  <c r="Q30" i="1" s="1"/>
  <c r="O42" i="1"/>
  <c r="Q42" i="1" s="1"/>
  <c r="O54" i="1"/>
  <c r="O17" i="1"/>
  <c r="Q17" i="1" s="1"/>
</calcChain>
</file>

<file path=xl/sharedStrings.xml><?xml version="1.0" encoding="utf-8"?>
<sst xmlns="http://schemas.openxmlformats.org/spreadsheetml/2006/main" count="141" uniqueCount="141">
  <si>
    <t>Master List - Operating System - 60 Students (Sample Data) | Session 2026-27</t>
  </si>
  <si>
    <t>Category at each stage is by formula: top 5 by score = Gallant; below cut-off = Gradual; rest = Growing. Cut-offs are on the Summary sheet.</t>
  </si>
  <si>
    <t>S.No</t>
  </si>
  <si>
    <t>Univ. Roll No.</t>
  </si>
  <si>
    <t>Student Name</t>
  </si>
  <si>
    <t>Pre-MSE CGPA</t>
  </si>
  <si>
    <t>Pre-MSE Rank</t>
  </si>
  <si>
    <t>Pre-MSE Category</t>
  </si>
  <si>
    <t>MSE-1 Att (%)</t>
  </si>
  <si>
    <t>MSE-1 Marks (/30)</t>
  </si>
  <si>
    <t>MSE-1 %</t>
  </si>
  <si>
    <t>MSE-1 Category</t>
  </si>
  <si>
    <t>MSE-1 Rank</t>
  </si>
  <si>
    <t>MSE-2 Att (%)</t>
  </si>
  <si>
    <t>MSE-2 Marks (/30)</t>
  </si>
  <si>
    <t>MSE-2 %</t>
  </si>
  <si>
    <t>MSE-2 Category</t>
  </si>
  <si>
    <t>MSE-2 Rank</t>
  </si>
  <si>
    <t>Category Path (Pre-MSE &gt; MSE-1 &gt; MSE-2)</t>
  </si>
  <si>
    <t>Change MSE-2 vs MSE-1 (%)</t>
  </si>
  <si>
    <t>Sort helper</t>
  </si>
  <si>
    <t>2612010101</t>
  </si>
  <si>
    <t>Aarav Kumar</t>
  </si>
  <si>
    <t>2612010102</t>
  </si>
  <si>
    <t>Aditya Singh</t>
  </si>
  <si>
    <t>2612010103</t>
  </si>
  <si>
    <t>Ankit Bansal</t>
  </si>
  <si>
    <t>2612010104</t>
  </si>
  <si>
    <t>Ankit Verma</t>
  </si>
  <si>
    <t>2612010105</t>
  </si>
  <si>
    <t>Arjun Bansal</t>
  </si>
  <si>
    <t>2612010106</t>
  </si>
  <si>
    <t>Arjun Saxena</t>
  </si>
  <si>
    <t>2612010107</t>
  </si>
  <si>
    <t>Deepak Chauhan</t>
  </si>
  <si>
    <t>2612010108</t>
  </si>
  <si>
    <t>Deepak Sharma</t>
  </si>
  <si>
    <t>2612010109</t>
  </si>
  <si>
    <t>Diya Gupta</t>
  </si>
  <si>
    <t>2612010110</t>
  </si>
  <si>
    <t>Harsh Bansal</t>
  </si>
  <si>
    <t>2612010111</t>
  </si>
  <si>
    <t>Harsh Tyagi</t>
  </si>
  <si>
    <t>2612010112</t>
  </si>
  <si>
    <t>Isha Verma</t>
  </si>
  <si>
    <t>2612010113</t>
  </si>
  <si>
    <t>Ishaan Mehta</t>
  </si>
  <si>
    <t>2612010114</t>
  </si>
  <si>
    <t>Ishaan Rana</t>
  </si>
  <si>
    <t>2612010115</t>
  </si>
  <si>
    <t>Kabir Singh</t>
  </si>
  <si>
    <t>2612010116</t>
  </si>
  <si>
    <t>Kabir Verma</t>
  </si>
  <si>
    <t>2612010117</t>
  </si>
  <si>
    <t>Karan Bansal</t>
  </si>
  <si>
    <t>2612010118</t>
  </si>
  <si>
    <t>Kavya Malhotra</t>
  </si>
  <si>
    <t>2612010119</t>
  </si>
  <si>
    <t>Kavya Saxena</t>
  </si>
  <si>
    <t>2612010120</t>
  </si>
  <si>
    <t>Mohit Jain</t>
  </si>
  <si>
    <t>2612010121</t>
  </si>
  <si>
    <t>Mohit Malhotra</t>
  </si>
  <si>
    <t>2612010122</t>
  </si>
  <si>
    <t>Mohit Mehta</t>
  </si>
  <si>
    <t>2612010123</t>
  </si>
  <si>
    <t>Mohit Verma</t>
  </si>
  <si>
    <t>2612010124</t>
  </si>
  <si>
    <t>Muskan Malhotra</t>
  </si>
  <si>
    <t>2612010125</t>
  </si>
  <si>
    <t>Muskan Rana</t>
  </si>
  <si>
    <t>2612010126</t>
  </si>
  <si>
    <t>Neha Sharma</t>
  </si>
  <si>
    <t>2612010127</t>
  </si>
  <si>
    <t>Nikhil Saxena</t>
  </si>
  <si>
    <t>2612010128</t>
  </si>
  <si>
    <t>Nikhil Tyagi</t>
  </si>
  <si>
    <t>2612010129</t>
  </si>
  <si>
    <t>Nikhil Yadav</t>
  </si>
  <si>
    <t>2612010130</t>
  </si>
  <si>
    <t>Pooja Agarwal</t>
  </si>
  <si>
    <t>2612010131</t>
  </si>
  <si>
    <t>Pooja Malhotra</t>
  </si>
  <si>
    <t>2612010132</t>
  </si>
  <si>
    <t>Pooja Verma</t>
  </si>
  <si>
    <t>2612010133</t>
  </si>
  <si>
    <t>Priya Verma</t>
  </si>
  <si>
    <t>2612010134</t>
  </si>
  <si>
    <t>Rahul Jain</t>
  </si>
  <si>
    <t>2612010135</t>
  </si>
  <si>
    <t>Rahul Kumar</t>
  </si>
  <si>
    <t>2612010136</t>
  </si>
  <si>
    <t>Rahul Rana</t>
  </si>
  <si>
    <t>2612010137</t>
  </si>
  <si>
    <t>Riya Mehta</t>
  </si>
  <si>
    <t>2612010138</t>
  </si>
  <si>
    <t>Riya Yadav</t>
  </si>
  <si>
    <t>2612010139</t>
  </si>
  <si>
    <t>Rohan Agarwal</t>
  </si>
  <si>
    <t>2612010140</t>
  </si>
  <si>
    <t>Sahil Chauhan</t>
  </si>
  <si>
    <t>2612010141</t>
  </si>
  <si>
    <t>Sahil Saxena</t>
  </si>
  <si>
    <t>2612010142</t>
  </si>
  <si>
    <t>Shivam Chauhan</t>
  </si>
  <si>
    <t>2612010143</t>
  </si>
  <si>
    <t>Shivam Tyagi</t>
  </si>
  <si>
    <t>2612010144</t>
  </si>
  <si>
    <t>Simran Agarwal</t>
  </si>
  <si>
    <t>2612010145</t>
  </si>
  <si>
    <t>Simran Kumar</t>
  </si>
  <si>
    <t>2612010146</t>
  </si>
  <si>
    <t>Simran Malhotra</t>
  </si>
  <si>
    <t>2612010147</t>
  </si>
  <si>
    <t>Simran Mehta</t>
  </si>
  <si>
    <t>2612010148</t>
  </si>
  <si>
    <t>Sneha Jain</t>
  </si>
  <si>
    <t>2612010149</t>
  </si>
  <si>
    <t>Sneha Yadav</t>
  </si>
  <si>
    <t>2612010150</t>
  </si>
  <si>
    <t>Tanvi Agarwal</t>
  </si>
  <si>
    <t>2612010151</t>
  </si>
  <si>
    <t>Varun Bansal</t>
  </si>
  <si>
    <t>2612010152</t>
  </si>
  <si>
    <t>Varun Kumar</t>
  </si>
  <si>
    <t>2612010153</t>
  </si>
  <si>
    <t>Vivaan Agarwal</t>
  </si>
  <si>
    <t>2612010154</t>
  </si>
  <si>
    <t>Vivaan Gupta</t>
  </si>
  <si>
    <t>2612010155</t>
  </si>
  <si>
    <t>Vivaan Kumar</t>
  </si>
  <si>
    <t>2612010156</t>
  </si>
  <si>
    <t>Vivaan Malhotra</t>
  </si>
  <si>
    <t>2612010157</t>
  </si>
  <si>
    <t>Vivaan Mehta</t>
  </si>
  <si>
    <t>2612010158</t>
  </si>
  <si>
    <t>Yash Malhotra</t>
  </si>
  <si>
    <t>2612010159</t>
  </si>
  <si>
    <t>Yash Rana</t>
  </si>
  <si>
    <t>2612010160</t>
  </si>
  <si>
    <t>Yash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</si>
</sst>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\-0.0;0.0"/>
    <numFmt numFmtId="165" formatCode="0.00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earners_Monitoring_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ummary"/>
      <sheetName val="Master (2)"/>
      <sheetName val="Master"/>
      <sheetName val="Gallant"/>
      <sheetName val="Gradual"/>
      <sheetName val="Growing"/>
    </sheetNames>
    <sheetDataSet>
      <sheetData sheetId="0"/>
      <sheetData sheetId="1">
        <row r="4">
          <cell r="D4">
            <v>30</v>
          </cell>
        </row>
        <row r="5">
          <cell r="D5">
            <v>4</v>
          </cell>
        </row>
        <row r="6">
          <cell r="D6">
            <v>40</v>
          </cell>
        </row>
        <row r="7">
          <cell r="D7">
            <v>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20C7-EA1B-4A9D-ACF3-F3664540B32C}">
  <dimension ref="A1:S64"/>
  <sheetViews>
    <sheetView tabSelected="1" zoomScaleNormal="100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C3" sqref="C3"/>
    </sheetView>
  </sheetViews>
  <sheetFormatPr defaultColWidth="8.6640625" defaultRowHeight="14.4" x14ac:dyDescent="0.3"/>
  <cols>
    <col min="1" max="1" width="6" customWidth="1"/>
    <col min="2" max="2" width="15" customWidth="1"/>
    <col min="3" max="3" width="22" customWidth="1"/>
    <col min="4" max="4" width="10" customWidth="1"/>
    <col min="5" max="5" width="9" customWidth="1"/>
    <col min="6" max="6" width="12" customWidth="1"/>
    <col min="7" max="8" width="10" customWidth="1"/>
    <col min="9" max="9" width="9" customWidth="1"/>
    <col min="10" max="10" width="12" customWidth="1"/>
    <col min="11" max="11" width="9" customWidth="1"/>
    <col min="12" max="13" width="10" customWidth="1"/>
    <col min="14" max="14" width="9" customWidth="1"/>
    <col min="15" max="15" width="12" customWidth="1"/>
    <col min="16" max="16" width="9" customWidth="1"/>
    <col min="17" max="17" width="38" customWidth="1"/>
    <col min="18" max="18" width="14" customWidth="1"/>
    <col min="19" max="19" width="12" hidden="1" customWidth="1"/>
  </cols>
  <sheetData>
    <row r="1" spans="1:19" ht="17.399999999999999" x14ac:dyDescent="0.3">
      <c r="A1" s="1" t="s">
        <v>0</v>
      </c>
    </row>
    <row r="2" spans="1:19" x14ac:dyDescent="0.3">
      <c r="A2" s="2" t="s">
        <v>1</v>
      </c>
    </row>
    <row r="4" spans="1:19" ht="43.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x14ac:dyDescent="0.3">
      <c r="A5" s="4">
        <v>1</v>
      </c>
      <c r="B5" s="4" t="s">
        <v>21</v>
      </c>
      <c r="C5" s="5" t="s">
        <v>22</v>
      </c>
      <c r="D5" s="6">
        <v>8.66</v>
      </c>
      <c r="E5" s="4">
        <f>RANK(D5,D$5:D$64,0)+COUNTIF(D$5:D5,D5)-1</f>
        <v>8</v>
      </c>
      <c r="F5" s="4" t="str">
        <f>IF(E5&lt;=[1]Summary!$D$7,"Gallant",IF(D5&lt;[1]Summary!$D$5,"Gradual","Growing"))</f>
        <v>Growing</v>
      </c>
      <c r="G5" s="7">
        <v>80</v>
      </c>
      <c r="H5" s="7">
        <v>23</v>
      </c>
      <c r="I5" s="4">
        <f>ROUND(H5/[1]Summary!$D$4*100,1)</f>
        <v>76.7</v>
      </c>
      <c r="J5" s="4" t="str">
        <f>IF(K5&lt;=[1]Summary!$D$7,"Gallant",IF(I5&lt;[1]Summary!$D$6,"Gradual","Growing"))</f>
        <v>Growing</v>
      </c>
      <c r="K5" s="4">
        <f>RANK(H5,H$5:H$64,0)+COUNTIF(H$5:H5,H5)-1</f>
        <v>17</v>
      </c>
      <c r="L5" s="7">
        <v>76</v>
      </c>
      <c r="M5" s="7">
        <v>25</v>
      </c>
      <c r="N5" s="4">
        <f>ROUND(M5/[1]Summary!$D$4*100,1)</f>
        <v>83.3</v>
      </c>
      <c r="O5" s="4" t="str">
        <f>IF(P5&lt;=[1]Summary!$D$7,"Gallant",IF(N5&lt;[1]Summary!$D$6,"Gradual","Growing"))</f>
        <v>Growing</v>
      </c>
      <c r="P5" s="4">
        <f>RANK(M5,M$5:M$64,0)+COUNTIF(M$5:M5,M5)-1</f>
        <v>15</v>
      </c>
      <c r="Q5" s="5" t="str">
        <f t="shared" ref="Q5:Q64" si="0">IF(AND(F5=J5,J5=O5),"No change ("&amp;F5&amp;")",F5&amp;" &gt; "&amp;J5&amp;" &gt; "&amp;O5)</f>
        <v>No change (Growing)</v>
      </c>
      <c r="R5" s="8">
        <f t="shared" ref="R5:R64" si="1">ROUND(N5-I5,1)</f>
        <v>6.6</v>
      </c>
      <c r="S5" s="9">
        <f t="shared" ref="S5:S64" si="2">R5+ROW()/1000000</f>
        <v>6.6000049999999995</v>
      </c>
    </row>
    <row r="6" spans="1:19" x14ac:dyDescent="0.3">
      <c r="A6" s="4">
        <v>2</v>
      </c>
      <c r="B6" s="4" t="s">
        <v>23</v>
      </c>
      <c r="C6" s="5" t="s">
        <v>24</v>
      </c>
      <c r="D6" s="6">
        <v>4.67</v>
      </c>
      <c r="E6" s="4">
        <f>RANK(D6,D$5:D$64,0)+COUNTIF(D$5:D6,D6)-1</f>
        <v>50</v>
      </c>
      <c r="F6" s="4" t="str">
        <f>IF(E6&lt;=[1]Summary!$D$7,"Gallant",IF(D6&lt;[1]Summary!$D$5,"Gradual","Growing"))</f>
        <v>Growing</v>
      </c>
      <c r="G6" s="7">
        <v>80</v>
      </c>
      <c r="H6" s="7">
        <v>13</v>
      </c>
      <c r="I6" s="4">
        <f>ROUND(H6/[1]Summary!$D$4*100,1)</f>
        <v>43.3</v>
      </c>
      <c r="J6" s="4" t="str">
        <f>IF(K6&lt;=[1]Summary!$D$7,"Gallant",IF(I6&lt;[1]Summary!$D$6,"Gradual","Growing"))</f>
        <v>Growing</v>
      </c>
      <c r="K6" s="4">
        <f>RANK(H6,H$5:H$64,0)+COUNTIF(H$5:H6,H6)-1</f>
        <v>44</v>
      </c>
      <c r="L6" s="7">
        <v>87</v>
      </c>
      <c r="M6" s="7">
        <v>18</v>
      </c>
      <c r="N6" s="4">
        <f>ROUND(M6/[1]Summary!$D$4*100,1)</f>
        <v>60</v>
      </c>
      <c r="O6" s="4" t="str">
        <f>IF(P6&lt;=[1]Summary!$D$7,"Gallant",IF(N6&lt;[1]Summary!$D$6,"Gradual","Growing"))</f>
        <v>Growing</v>
      </c>
      <c r="P6" s="4">
        <f>RANK(M6,M$5:M$64,0)+COUNTIF(M$5:M6,M6)-1</f>
        <v>36</v>
      </c>
      <c r="Q6" s="5" t="str">
        <f t="shared" si="0"/>
        <v>No change (Growing)</v>
      </c>
      <c r="R6" s="8">
        <f t="shared" si="1"/>
        <v>16.7</v>
      </c>
      <c r="S6" s="9">
        <f t="shared" si="2"/>
        <v>16.700005999999998</v>
      </c>
    </row>
    <row r="7" spans="1:19" x14ac:dyDescent="0.3">
      <c r="A7" s="4">
        <v>3</v>
      </c>
      <c r="B7" s="4" t="s">
        <v>25</v>
      </c>
      <c r="C7" s="5" t="s">
        <v>26</v>
      </c>
      <c r="D7" s="6">
        <v>7.86</v>
      </c>
      <c r="E7" s="4">
        <f>RANK(D7,D$5:D$64,0)+COUNTIF(D$5:D7,D7)-1</f>
        <v>15</v>
      </c>
      <c r="F7" s="4" t="str">
        <f>IF(E7&lt;=[1]Summary!$D$7,"Gallant",IF(D7&lt;[1]Summary!$D$5,"Gradual","Growing"))</f>
        <v>Growing</v>
      </c>
      <c r="G7" s="7">
        <v>95</v>
      </c>
      <c r="H7" s="7">
        <v>29</v>
      </c>
      <c r="I7" s="4">
        <f>ROUND(H7/[1]Summary!$D$4*100,1)</f>
        <v>96.7</v>
      </c>
      <c r="J7" s="4" t="str">
        <f>IF(K7&lt;=[1]Summary!$D$7,"Gallant",IF(I7&lt;[1]Summary!$D$6,"Gradual","Growing"))</f>
        <v>Gallant</v>
      </c>
      <c r="K7" s="4">
        <f>RANK(H7,H$5:H$64,0)+COUNTIF(H$5:H7,H7)-1</f>
        <v>1</v>
      </c>
      <c r="L7" s="7">
        <v>95</v>
      </c>
      <c r="M7" s="7">
        <v>26</v>
      </c>
      <c r="N7" s="4">
        <f>ROUND(M7/[1]Summary!$D$4*100,1)</f>
        <v>86.7</v>
      </c>
      <c r="O7" s="4" t="str">
        <f>IF(P7&lt;=[1]Summary!$D$7,"Gallant",IF(N7&lt;[1]Summary!$D$6,"Gradual","Growing"))</f>
        <v>Growing</v>
      </c>
      <c r="P7" s="4">
        <f>RANK(M7,M$5:M$64,0)+COUNTIF(M$5:M7,M7)-1</f>
        <v>10</v>
      </c>
      <c r="Q7" s="5" t="str">
        <f t="shared" si="0"/>
        <v>Growing &gt; Gallant &gt; Growing</v>
      </c>
      <c r="R7" s="8">
        <f t="shared" si="1"/>
        <v>-10</v>
      </c>
      <c r="S7" s="9">
        <f t="shared" si="2"/>
        <v>-9.9999929999999999</v>
      </c>
    </row>
    <row r="8" spans="1:19" x14ac:dyDescent="0.3">
      <c r="A8" s="4">
        <v>4</v>
      </c>
      <c r="B8" s="4" t="s">
        <v>27</v>
      </c>
      <c r="C8" s="5" t="s">
        <v>28</v>
      </c>
      <c r="D8" s="6">
        <v>6.47</v>
      </c>
      <c r="E8" s="4">
        <f>RANK(D8,D$5:D$64,0)+COUNTIF(D$5:D8,D8)-1</f>
        <v>28</v>
      </c>
      <c r="F8" s="4" t="str">
        <f>IF(E8&lt;=[1]Summary!$D$7,"Gallant",IF(D8&lt;[1]Summary!$D$5,"Gradual","Growing"))</f>
        <v>Growing</v>
      </c>
      <c r="G8" s="7">
        <v>87</v>
      </c>
      <c r="H8" s="7">
        <v>12</v>
      </c>
      <c r="I8" s="4">
        <f>ROUND(H8/[1]Summary!$D$4*100,1)</f>
        <v>40</v>
      </c>
      <c r="J8" s="4" t="str">
        <f>IF(K8&lt;=[1]Summary!$D$7,"Gallant",IF(I8&lt;[1]Summary!$D$6,"Gradual","Growing"))</f>
        <v>Growing</v>
      </c>
      <c r="K8" s="4">
        <f>RANK(H8,H$5:H$64,0)+COUNTIF(H$5:H8,H8)-1</f>
        <v>46</v>
      </c>
      <c r="L8" s="7">
        <v>51</v>
      </c>
      <c r="M8" s="7">
        <v>19</v>
      </c>
      <c r="N8" s="4">
        <f>ROUND(M8/[1]Summary!$D$4*100,1)</f>
        <v>63.3</v>
      </c>
      <c r="O8" s="4" t="str">
        <f>IF(P8&lt;=[1]Summary!$D$7,"Gallant",IF(N8&lt;[1]Summary!$D$6,"Gradual","Growing"))</f>
        <v>Growing</v>
      </c>
      <c r="P8" s="4">
        <f>RANK(M8,M$5:M$64,0)+COUNTIF(M$5:M8,M8)-1</f>
        <v>31</v>
      </c>
      <c r="Q8" s="5" t="str">
        <f t="shared" si="0"/>
        <v>No change (Growing)</v>
      </c>
      <c r="R8" s="8">
        <f t="shared" si="1"/>
        <v>23.3</v>
      </c>
      <c r="S8" s="9">
        <f t="shared" si="2"/>
        <v>23.300008000000002</v>
      </c>
    </row>
    <row r="9" spans="1:19" x14ac:dyDescent="0.3">
      <c r="A9" s="4">
        <v>5</v>
      </c>
      <c r="B9" s="4" t="s">
        <v>29</v>
      </c>
      <c r="C9" s="5" t="s">
        <v>30</v>
      </c>
      <c r="D9" s="6">
        <v>7.42</v>
      </c>
      <c r="E9" s="4">
        <f>RANK(D9,D$5:D$64,0)+COUNTIF(D$5:D9,D9)-1</f>
        <v>18</v>
      </c>
      <c r="F9" s="4" t="str">
        <f>IF(E9&lt;=[1]Summary!$D$7,"Gallant",IF(D9&lt;[1]Summary!$D$5,"Gradual","Growing"))</f>
        <v>Growing</v>
      </c>
      <c r="G9" s="7">
        <v>87</v>
      </c>
      <c r="H9" s="7">
        <v>8</v>
      </c>
      <c r="I9" s="4">
        <f>ROUND(H9/[1]Summary!$D$4*100,1)</f>
        <v>26.7</v>
      </c>
      <c r="J9" s="4" t="str">
        <f>IF(K9&lt;=[1]Summary!$D$7,"Gallant",IF(I9&lt;[1]Summary!$D$6,"Gradual","Growing"))</f>
        <v>Gradual</v>
      </c>
      <c r="K9" s="4">
        <f>RANK(H9,H$5:H$64,0)+COUNTIF(H$5:H9,H9)-1</f>
        <v>58</v>
      </c>
      <c r="L9" s="7">
        <v>97</v>
      </c>
      <c r="M9" s="7">
        <v>14</v>
      </c>
      <c r="N9" s="4">
        <f>ROUND(M9/[1]Summary!$D$4*100,1)</f>
        <v>46.7</v>
      </c>
      <c r="O9" s="4" t="str">
        <f>IF(P9&lt;=[1]Summary!$D$7,"Gallant",IF(N9&lt;[1]Summary!$D$6,"Gradual","Growing"))</f>
        <v>Growing</v>
      </c>
      <c r="P9" s="4">
        <f>RANK(M9,M$5:M$64,0)+COUNTIF(M$5:M9,M9)-1</f>
        <v>50</v>
      </c>
      <c r="Q9" s="5" t="str">
        <f t="shared" si="0"/>
        <v>Growing &gt; Gradual &gt; Growing</v>
      </c>
      <c r="R9" s="8">
        <f t="shared" si="1"/>
        <v>20</v>
      </c>
      <c r="S9" s="9">
        <f t="shared" si="2"/>
        <v>20.000008999999999</v>
      </c>
    </row>
    <row r="10" spans="1:19" x14ac:dyDescent="0.3">
      <c r="A10" s="4">
        <v>6</v>
      </c>
      <c r="B10" s="4" t="s">
        <v>31</v>
      </c>
      <c r="C10" s="5" t="s">
        <v>32</v>
      </c>
      <c r="D10" s="6">
        <v>7.37</v>
      </c>
      <c r="E10" s="4">
        <f>RANK(D10,D$5:D$64,0)+COUNTIF(D$5:D10,D10)-1</f>
        <v>19</v>
      </c>
      <c r="F10" s="4" t="str">
        <f>IF(E10&lt;=[1]Summary!$D$7,"Gallant",IF(D10&lt;[1]Summary!$D$5,"Gradual","Growing"))</f>
        <v>Growing</v>
      </c>
      <c r="G10" s="7">
        <v>78</v>
      </c>
      <c r="H10" s="7">
        <v>18</v>
      </c>
      <c r="I10" s="4">
        <f>ROUND(H10/[1]Summary!$D$4*100,1)</f>
        <v>60</v>
      </c>
      <c r="J10" s="4" t="str">
        <f>IF(K10&lt;=[1]Summary!$D$7,"Gallant",IF(I10&lt;[1]Summary!$D$6,"Gradual","Growing"))</f>
        <v>Growing</v>
      </c>
      <c r="K10" s="4">
        <f>RANK(H10,H$5:H$64,0)+COUNTIF(H$5:H10,H10)-1</f>
        <v>30</v>
      </c>
      <c r="L10" s="7">
        <v>78</v>
      </c>
      <c r="M10" s="7">
        <v>21</v>
      </c>
      <c r="N10" s="4">
        <f>ROUND(M10/[1]Summary!$D$4*100,1)</f>
        <v>70</v>
      </c>
      <c r="O10" s="4" t="str">
        <f>IF(P10&lt;=[1]Summary!$D$7,"Gallant",IF(N10&lt;[1]Summary!$D$6,"Gradual","Growing"))</f>
        <v>Growing</v>
      </c>
      <c r="P10" s="4">
        <f>RANK(M10,M$5:M$64,0)+COUNTIF(M$5:M10,M10)-1</f>
        <v>21</v>
      </c>
      <c r="Q10" s="5" t="str">
        <f t="shared" si="0"/>
        <v>No change (Growing)</v>
      </c>
      <c r="R10" s="8">
        <f t="shared" si="1"/>
        <v>10</v>
      </c>
      <c r="S10" s="9">
        <f t="shared" si="2"/>
        <v>10.00001</v>
      </c>
    </row>
    <row r="11" spans="1:19" x14ac:dyDescent="0.3">
      <c r="A11" s="4">
        <v>7</v>
      </c>
      <c r="B11" s="4" t="s">
        <v>33</v>
      </c>
      <c r="C11" s="5" t="s">
        <v>34</v>
      </c>
      <c r="D11" s="6">
        <v>6.25</v>
      </c>
      <c r="E11" s="4">
        <f>RANK(D11,D$5:D$64,0)+COUNTIF(D$5:D11,D11)-1</f>
        <v>32</v>
      </c>
      <c r="F11" s="4" t="str">
        <f>IF(E11&lt;=[1]Summary!$D$7,"Gallant",IF(D11&lt;[1]Summary!$D$5,"Gradual","Growing"))</f>
        <v>Growing</v>
      </c>
      <c r="G11" s="7">
        <v>96</v>
      </c>
      <c r="H11" s="7">
        <v>25</v>
      </c>
      <c r="I11" s="4">
        <f>ROUND(H11/[1]Summary!$D$4*100,1)</f>
        <v>83.3</v>
      </c>
      <c r="J11" s="4" t="str">
        <f>IF(K11&lt;=[1]Summary!$D$7,"Gallant",IF(I11&lt;[1]Summary!$D$6,"Gradual","Growing"))</f>
        <v>Growing</v>
      </c>
      <c r="K11" s="4">
        <f>RANK(H11,H$5:H$64,0)+COUNTIF(H$5:H11,H11)-1</f>
        <v>8</v>
      </c>
      <c r="L11" s="7">
        <v>88</v>
      </c>
      <c r="M11" s="7">
        <v>22</v>
      </c>
      <c r="N11" s="4">
        <f>ROUND(M11/[1]Summary!$D$4*100,1)</f>
        <v>73.3</v>
      </c>
      <c r="O11" s="4" t="str">
        <f>IF(P11&lt;=[1]Summary!$D$7,"Gallant",IF(N11&lt;[1]Summary!$D$6,"Gradual","Growing"))</f>
        <v>Growing</v>
      </c>
      <c r="P11" s="4">
        <f>RANK(M11,M$5:M$64,0)+COUNTIF(M$5:M11,M11)-1</f>
        <v>19</v>
      </c>
      <c r="Q11" s="5" t="str">
        <f t="shared" si="0"/>
        <v>No change (Growing)</v>
      </c>
      <c r="R11" s="8">
        <f t="shared" si="1"/>
        <v>-10</v>
      </c>
      <c r="S11" s="9">
        <f t="shared" si="2"/>
        <v>-9.9999889999999994</v>
      </c>
    </row>
    <row r="12" spans="1:19" x14ac:dyDescent="0.3">
      <c r="A12" s="4">
        <v>8</v>
      </c>
      <c r="B12" s="4" t="s">
        <v>35</v>
      </c>
      <c r="C12" s="5" t="s">
        <v>36</v>
      </c>
      <c r="D12" s="6">
        <v>4.99</v>
      </c>
      <c r="E12" s="4">
        <f>RANK(D12,D$5:D$64,0)+COUNTIF(D$5:D12,D12)-1</f>
        <v>45</v>
      </c>
      <c r="F12" s="4" t="str">
        <f>IF(E12&lt;=[1]Summary!$D$7,"Gallant",IF(D12&lt;[1]Summary!$D$5,"Gradual","Growing"))</f>
        <v>Growing</v>
      </c>
      <c r="G12" s="7">
        <v>81</v>
      </c>
      <c r="H12" s="7">
        <v>12</v>
      </c>
      <c r="I12" s="4">
        <f>ROUND(H12/[1]Summary!$D$4*100,1)</f>
        <v>40</v>
      </c>
      <c r="J12" s="4" t="str">
        <f>IF(K12&lt;=[1]Summary!$D$7,"Gallant",IF(I12&lt;[1]Summary!$D$6,"Gradual","Growing"))</f>
        <v>Growing</v>
      </c>
      <c r="K12" s="4">
        <f>RANK(H12,H$5:H$64,0)+COUNTIF(H$5:H12,H12)-1</f>
        <v>47</v>
      </c>
      <c r="L12" s="7">
        <v>91</v>
      </c>
      <c r="M12" s="7">
        <v>21</v>
      </c>
      <c r="N12" s="4">
        <f>ROUND(M12/[1]Summary!$D$4*100,1)</f>
        <v>70</v>
      </c>
      <c r="O12" s="4" t="str">
        <f>IF(P12&lt;=[1]Summary!$D$7,"Gallant",IF(N12&lt;[1]Summary!$D$6,"Gradual","Growing"))</f>
        <v>Growing</v>
      </c>
      <c r="P12" s="4">
        <f>RANK(M12,M$5:M$64,0)+COUNTIF(M$5:M12,M12)-1</f>
        <v>22</v>
      </c>
      <c r="Q12" s="5" t="str">
        <f t="shared" si="0"/>
        <v>No change (Growing)</v>
      </c>
      <c r="R12" s="8">
        <f t="shared" si="1"/>
        <v>30</v>
      </c>
      <c r="S12" s="9">
        <f t="shared" si="2"/>
        <v>30.000012000000002</v>
      </c>
    </row>
    <row r="13" spans="1:19" x14ac:dyDescent="0.3">
      <c r="A13" s="4">
        <v>9</v>
      </c>
      <c r="B13" s="4" t="s">
        <v>37</v>
      </c>
      <c r="C13" s="5" t="s">
        <v>38</v>
      </c>
      <c r="D13" s="6">
        <v>4.75</v>
      </c>
      <c r="E13" s="4">
        <f>RANK(D13,D$5:D$64,0)+COUNTIF(D$5:D13,D13)-1</f>
        <v>48</v>
      </c>
      <c r="F13" s="4" t="str">
        <f>IF(E13&lt;=[1]Summary!$D$7,"Gallant",IF(D13&lt;[1]Summary!$D$5,"Gradual","Growing"))</f>
        <v>Growing</v>
      </c>
      <c r="G13" s="7">
        <v>82</v>
      </c>
      <c r="H13" s="7">
        <v>10</v>
      </c>
      <c r="I13" s="4">
        <f>ROUND(H13/[1]Summary!$D$4*100,1)</f>
        <v>33.299999999999997</v>
      </c>
      <c r="J13" s="4" t="str">
        <f>IF(K13&lt;=[1]Summary!$D$7,"Gallant",IF(I13&lt;[1]Summary!$D$6,"Gradual","Growing"))</f>
        <v>Gradual</v>
      </c>
      <c r="K13" s="4">
        <f>RANK(H13,H$5:H$64,0)+COUNTIF(H$5:H13,H13)-1</f>
        <v>53</v>
      </c>
      <c r="L13" s="7">
        <v>76</v>
      </c>
      <c r="M13" s="7">
        <v>10</v>
      </c>
      <c r="N13" s="4">
        <f>ROUND(M13/[1]Summary!$D$4*100,1)</f>
        <v>33.299999999999997</v>
      </c>
      <c r="O13" s="4" t="str">
        <f>IF(P13&lt;=[1]Summary!$D$7,"Gallant",IF(N13&lt;[1]Summary!$D$6,"Gradual","Growing"))</f>
        <v>Gradual</v>
      </c>
      <c r="P13" s="4">
        <f>RANK(M13,M$5:M$64,0)+COUNTIF(M$5:M13,M13)-1</f>
        <v>55</v>
      </c>
      <c r="Q13" s="5" t="str">
        <f t="shared" si="0"/>
        <v>Growing &gt; Gradual &gt; Gradual</v>
      </c>
      <c r="R13" s="8">
        <f t="shared" si="1"/>
        <v>0</v>
      </c>
      <c r="S13" s="9">
        <f t="shared" si="2"/>
        <v>1.2999999999999999E-5</v>
      </c>
    </row>
    <row r="14" spans="1:19" x14ac:dyDescent="0.3">
      <c r="A14" s="4">
        <v>10</v>
      </c>
      <c r="B14" s="4" t="s">
        <v>39</v>
      </c>
      <c r="C14" s="5" t="s">
        <v>40</v>
      </c>
      <c r="D14" s="6">
        <v>4.6900000000000004</v>
      </c>
      <c r="E14" s="4">
        <f>RANK(D14,D$5:D$64,0)+COUNTIF(D$5:D14,D14)-1</f>
        <v>49</v>
      </c>
      <c r="F14" s="4" t="str">
        <f>IF(E14&lt;=[1]Summary!$D$7,"Gallant",IF(D14&lt;[1]Summary!$D$5,"Gradual","Growing"))</f>
        <v>Growing</v>
      </c>
      <c r="G14" s="7">
        <v>84</v>
      </c>
      <c r="H14" s="7">
        <v>16</v>
      </c>
      <c r="I14" s="4">
        <f>ROUND(H14/[1]Summary!$D$4*100,1)</f>
        <v>53.3</v>
      </c>
      <c r="J14" s="4" t="str">
        <f>IF(K14&lt;=[1]Summary!$D$7,"Gallant",IF(I14&lt;[1]Summary!$D$6,"Gradual","Growing"))</f>
        <v>Growing</v>
      </c>
      <c r="K14" s="4">
        <f>RANK(H14,H$5:H$64,0)+COUNTIF(H$5:H14,H14)-1</f>
        <v>38</v>
      </c>
      <c r="L14" s="7">
        <v>94</v>
      </c>
      <c r="M14" s="7">
        <v>19</v>
      </c>
      <c r="N14" s="4">
        <f>ROUND(M14/[1]Summary!$D$4*100,1)</f>
        <v>63.3</v>
      </c>
      <c r="O14" s="4" t="str">
        <f>IF(P14&lt;=[1]Summary!$D$7,"Gallant",IF(N14&lt;[1]Summary!$D$6,"Gradual","Growing"))</f>
        <v>Growing</v>
      </c>
      <c r="P14" s="4">
        <f>RANK(M14,M$5:M$64,0)+COUNTIF(M$5:M14,M14)-1</f>
        <v>32</v>
      </c>
      <c r="Q14" s="5" t="str">
        <f t="shared" si="0"/>
        <v>No change (Growing)</v>
      </c>
      <c r="R14" s="8">
        <f t="shared" si="1"/>
        <v>10</v>
      </c>
      <c r="S14" s="9">
        <f t="shared" si="2"/>
        <v>10.000014</v>
      </c>
    </row>
    <row r="15" spans="1:19" x14ac:dyDescent="0.3">
      <c r="A15" s="4">
        <v>11</v>
      </c>
      <c r="B15" s="4" t="s">
        <v>41</v>
      </c>
      <c r="C15" s="5" t="s">
        <v>42</v>
      </c>
      <c r="D15" s="6">
        <v>6.48</v>
      </c>
      <c r="E15" s="4">
        <f>RANK(D15,D$5:D$64,0)+COUNTIF(D$5:D15,D15)-1</f>
        <v>27</v>
      </c>
      <c r="F15" s="4" t="str">
        <f>IF(E15&lt;=[1]Summary!$D$7,"Gallant",IF(D15&lt;[1]Summary!$D$5,"Gradual","Growing"))</f>
        <v>Growing</v>
      </c>
      <c r="G15" s="7">
        <v>91</v>
      </c>
      <c r="H15" s="7">
        <v>16</v>
      </c>
      <c r="I15" s="4">
        <f>ROUND(H15/[1]Summary!$D$4*100,1)</f>
        <v>53.3</v>
      </c>
      <c r="J15" s="4" t="str">
        <f>IF(K15&lt;=[1]Summary!$D$7,"Gallant",IF(I15&lt;[1]Summary!$D$6,"Gradual","Growing"))</f>
        <v>Growing</v>
      </c>
      <c r="K15" s="4">
        <f>RANK(H15,H$5:H$64,0)+COUNTIF(H$5:H15,H15)-1</f>
        <v>39</v>
      </c>
      <c r="L15" s="7">
        <v>95</v>
      </c>
      <c r="M15" s="7">
        <v>19</v>
      </c>
      <c r="N15" s="4">
        <f>ROUND(M15/[1]Summary!$D$4*100,1)</f>
        <v>63.3</v>
      </c>
      <c r="O15" s="4" t="str">
        <f>IF(P15&lt;=[1]Summary!$D$7,"Gallant",IF(N15&lt;[1]Summary!$D$6,"Gradual","Growing"))</f>
        <v>Growing</v>
      </c>
      <c r="P15" s="4">
        <f>RANK(M15,M$5:M$64,0)+COUNTIF(M$5:M15,M15)-1</f>
        <v>33</v>
      </c>
      <c r="Q15" s="5" t="str">
        <f t="shared" si="0"/>
        <v>No change (Growing)</v>
      </c>
      <c r="R15" s="8">
        <f t="shared" si="1"/>
        <v>10</v>
      </c>
      <c r="S15" s="9">
        <f t="shared" si="2"/>
        <v>10.000014999999999</v>
      </c>
    </row>
    <row r="16" spans="1:19" x14ac:dyDescent="0.3">
      <c r="A16" s="4">
        <v>12</v>
      </c>
      <c r="B16" s="4" t="s">
        <v>43</v>
      </c>
      <c r="C16" s="5" t="s">
        <v>44</v>
      </c>
      <c r="D16" s="6">
        <v>6.44</v>
      </c>
      <c r="E16" s="4">
        <f>RANK(D16,D$5:D$64,0)+COUNTIF(D$5:D16,D16)-1</f>
        <v>29</v>
      </c>
      <c r="F16" s="4" t="str">
        <f>IF(E16&lt;=[1]Summary!$D$7,"Gallant",IF(D16&lt;[1]Summary!$D$5,"Gradual","Growing"))</f>
        <v>Growing</v>
      </c>
      <c r="G16" s="7">
        <v>96</v>
      </c>
      <c r="H16" s="7">
        <v>17</v>
      </c>
      <c r="I16" s="4">
        <f>ROUND(H16/[1]Summary!$D$4*100,1)</f>
        <v>56.7</v>
      </c>
      <c r="J16" s="4" t="str">
        <f>IF(K16&lt;=[1]Summary!$D$7,"Gallant",IF(I16&lt;[1]Summary!$D$6,"Gradual","Growing"))</f>
        <v>Growing</v>
      </c>
      <c r="K16" s="4">
        <f>RANK(H16,H$5:H$64,0)+COUNTIF(H$5:H16,H16)-1</f>
        <v>34</v>
      </c>
      <c r="L16" s="7">
        <v>75</v>
      </c>
      <c r="M16" s="7">
        <v>9</v>
      </c>
      <c r="N16" s="4">
        <f>ROUND(M16/[1]Summary!$D$4*100,1)</f>
        <v>30</v>
      </c>
      <c r="O16" s="4" t="str">
        <f>IF(P16&lt;=[1]Summary!$D$7,"Gallant",IF(N16&lt;[1]Summary!$D$6,"Gradual","Growing"))</f>
        <v>Gradual</v>
      </c>
      <c r="P16" s="4">
        <f>RANK(M16,M$5:M$64,0)+COUNTIF(M$5:M16,M16)-1</f>
        <v>59</v>
      </c>
      <c r="Q16" s="5" t="str">
        <f t="shared" si="0"/>
        <v>Growing &gt; Growing &gt; Gradual</v>
      </c>
      <c r="R16" s="8">
        <f t="shared" si="1"/>
        <v>-26.7</v>
      </c>
      <c r="S16" s="9">
        <f t="shared" si="2"/>
        <v>-26.699984000000001</v>
      </c>
    </row>
    <row r="17" spans="1:19" x14ac:dyDescent="0.3">
      <c r="A17" s="4">
        <v>13</v>
      </c>
      <c r="B17" s="4" t="s">
        <v>45</v>
      </c>
      <c r="C17" s="5" t="s">
        <v>46</v>
      </c>
      <c r="D17" s="6">
        <v>4.62</v>
      </c>
      <c r="E17" s="4">
        <f>RANK(D17,D$5:D$64,0)+COUNTIF(D$5:D17,D17)-1</f>
        <v>51</v>
      </c>
      <c r="F17" s="4" t="str">
        <f>IF(E17&lt;=[1]Summary!$D$7,"Gallant",IF(D17&lt;[1]Summary!$D$5,"Gradual","Growing"))</f>
        <v>Growing</v>
      </c>
      <c r="G17" s="7">
        <v>85</v>
      </c>
      <c r="H17" s="7">
        <v>16</v>
      </c>
      <c r="I17" s="4">
        <f>ROUND(H17/[1]Summary!$D$4*100,1)</f>
        <v>53.3</v>
      </c>
      <c r="J17" s="4" t="str">
        <f>IF(K17&lt;=[1]Summary!$D$7,"Gallant",IF(I17&lt;[1]Summary!$D$6,"Gradual","Growing"))</f>
        <v>Growing</v>
      </c>
      <c r="K17" s="4">
        <f>RANK(H17,H$5:H$64,0)+COUNTIF(H$5:H17,H17)-1</f>
        <v>40</v>
      </c>
      <c r="L17" s="7">
        <v>70</v>
      </c>
      <c r="M17" s="7">
        <v>19</v>
      </c>
      <c r="N17" s="4">
        <f>ROUND(M17/[1]Summary!$D$4*100,1)</f>
        <v>63.3</v>
      </c>
      <c r="O17" s="4" t="str">
        <f>IF(P17&lt;=[1]Summary!$D$7,"Gallant",IF(N17&lt;[1]Summary!$D$6,"Gradual","Growing"))</f>
        <v>Growing</v>
      </c>
      <c r="P17" s="4">
        <f>RANK(M17,M$5:M$64,0)+COUNTIF(M$5:M17,M17)-1</f>
        <v>34</v>
      </c>
      <c r="Q17" s="5" t="str">
        <f t="shared" si="0"/>
        <v>No change (Growing)</v>
      </c>
      <c r="R17" s="8">
        <f t="shared" si="1"/>
        <v>10</v>
      </c>
      <c r="S17" s="9">
        <f t="shared" si="2"/>
        <v>10.000017</v>
      </c>
    </row>
    <row r="18" spans="1:19" x14ac:dyDescent="0.3">
      <c r="A18" s="4">
        <v>14</v>
      </c>
      <c r="B18" s="4" t="s">
        <v>47</v>
      </c>
      <c r="C18" s="5" t="s">
        <v>48</v>
      </c>
      <c r="D18" s="6">
        <v>7.15</v>
      </c>
      <c r="E18" s="4">
        <f>RANK(D18,D$5:D$64,0)+COUNTIF(D$5:D18,D18)-1</f>
        <v>22</v>
      </c>
      <c r="F18" s="4" t="str">
        <f>IF(E18&lt;=[1]Summary!$D$7,"Gallant",IF(D18&lt;[1]Summary!$D$5,"Gradual","Growing"))</f>
        <v>Growing</v>
      </c>
      <c r="G18" s="7">
        <v>87</v>
      </c>
      <c r="H18" s="7">
        <v>18</v>
      </c>
      <c r="I18" s="4">
        <f>ROUND(H18/[1]Summary!$D$4*100,1)</f>
        <v>60</v>
      </c>
      <c r="J18" s="4" t="str">
        <f>IF(K18&lt;=[1]Summary!$D$7,"Gallant",IF(I18&lt;[1]Summary!$D$6,"Gradual","Growing"))</f>
        <v>Growing</v>
      </c>
      <c r="K18" s="4">
        <f>RANK(H18,H$5:H$64,0)+COUNTIF(H$5:H18,H18)-1</f>
        <v>31</v>
      </c>
      <c r="L18" s="7">
        <v>83</v>
      </c>
      <c r="M18" s="7">
        <v>21</v>
      </c>
      <c r="N18" s="4">
        <f>ROUND(M18/[1]Summary!$D$4*100,1)</f>
        <v>70</v>
      </c>
      <c r="O18" s="4" t="str">
        <f>IF(P18&lt;=[1]Summary!$D$7,"Gallant",IF(N18&lt;[1]Summary!$D$6,"Gradual","Growing"))</f>
        <v>Growing</v>
      </c>
      <c r="P18" s="4">
        <f>RANK(M18,M$5:M$64,0)+COUNTIF(M$5:M18,M18)-1</f>
        <v>23</v>
      </c>
      <c r="Q18" s="5" t="str">
        <f t="shared" si="0"/>
        <v>No change (Growing)</v>
      </c>
      <c r="R18" s="8">
        <f t="shared" si="1"/>
        <v>10</v>
      </c>
      <c r="S18" s="9">
        <f t="shared" si="2"/>
        <v>10.000018000000001</v>
      </c>
    </row>
    <row r="19" spans="1:19" x14ac:dyDescent="0.3">
      <c r="A19" s="4">
        <v>15</v>
      </c>
      <c r="B19" s="4" t="s">
        <v>49</v>
      </c>
      <c r="C19" s="5" t="s">
        <v>50</v>
      </c>
      <c r="D19" s="6">
        <v>8.77</v>
      </c>
      <c r="E19" s="4">
        <f>RANK(D19,D$5:D$64,0)+COUNTIF(D$5:D19,D19)-1</f>
        <v>6</v>
      </c>
      <c r="F19" s="4" t="str">
        <f>IF(E19&lt;=[1]Summary!$D$7,"Gallant",IF(D19&lt;[1]Summary!$D$5,"Gradual","Growing"))</f>
        <v>Growing</v>
      </c>
      <c r="G19" s="7">
        <v>84</v>
      </c>
      <c r="H19" s="7">
        <v>22</v>
      </c>
      <c r="I19" s="4">
        <f>ROUND(H19/[1]Summary!$D$4*100,1)</f>
        <v>73.3</v>
      </c>
      <c r="J19" s="4" t="str">
        <f>IF(K19&lt;=[1]Summary!$D$7,"Gallant",IF(I19&lt;[1]Summary!$D$6,"Gradual","Growing"))</f>
        <v>Growing</v>
      </c>
      <c r="K19" s="4">
        <f>RANK(H19,H$5:H$64,0)+COUNTIF(H$5:H19,H19)-1</f>
        <v>19</v>
      </c>
      <c r="L19" s="7">
        <v>71</v>
      </c>
      <c r="M19" s="7">
        <v>21</v>
      </c>
      <c r="N19" s="4">
        <f>ROUND(M19/[1]Summary!$D$4*100,1)</f>
        <v>70</v>
      </c>
      <c r="O19" s="4" t="str">
        <f>IF(P19&lt;=[1]Summary!$D$7,"Gallant",IF(N19&lt;[1]Summary!$D$6,"Gradual","Growing"))</f>
        <v>Growing</v>
      </c>
      <c r="P19" s="4">
        <f>RANK(M19,M$5:M$64,0)+COUNTIF(M$5:M19,M19)-1</f>
        <v>24</v>
      </c>
      <c r="Q19" s="5" t="str">
        <f t="shared" si="0"/>
        <v>No change (Growing)</v>
      </c>
      <c r="R19" s="8">
        <f t="shared" si="1"/>
        <v>-3.3</v>
      </c>
      <c r="S19" s="9">
        <f t="shared" si="2"/>
        <v>-3.2999809999999998</v>
      </c>
    </row>
    <row r="20" spans="1:19" x14ac:dyDescent="0.3">
      <c r="A20" s="4">
        <v>16</v>
      </c>
      <c r="B20" s="4" t="s">
        <v>51</v>
      </c>
      <c r="C20" s="5" t="s">
        <v>52</v>
      </c>
      <c r="D20" s="6">
        <v>7.73</v>
      </c>
      <c r="E20" s="4">
        <f>RANK(D20,D$5:D$64,0)+COUNTIF(D$5:D20,D20)-1</f>
        <v>17</v>
      </c>
      <c r="F20" s="4" t="str">
        <f>IF(E20&lt;=[1]Summary!$D$7,"Gallant",IF(D20&lt;[1]Summary!$D$5,"Gradual","Growing"))</f>
        <v>Growing</v>
      </c>
      <c r="G20" s="7">
        <v>98</v>
      </c>
      <c r="H20" s="7">
        <v>24</v>
      </c>
      <c r="I20" s="4">
        <f>ROUND(H20/[1]Summary!$D$4*100,1)</f>
        <v>80</v>
      </c>
      <c r="J20" s="4" t="str">
        <f>IF(K20&lt;=[1]Summary!$D$7,"Gallant",IF(I20&lt;[1]Summary!$D$6,"Gradual","Growing"))</f>
        <v>Growing</v>
      </c>
      <c r="K20" s="4">
        <f>RANK(H20,H$5:H$64,0)+COUNTIF(H$5:H20,H20)-1</f>
        <v>12</v>
      </c>
      <c r="L20" s="7">
        <v>64</v>
      </c>
      <c r="M20" s="7">
        <v>27</v>
      </c>
      <c r="N20" s="4">
        <f>ROUND(M20/[1]Summary!$D$4*100,1)</f>
        <v>90</v>
      </c>
      <c r="O20" s="4" t="str">
        <f>IF(P20&lt;=[1]Summary!$D$7,"Gallant",IF(N20&lt;[1]Summary!$D$6,"Gradual","Growing"))</f>
        <v>Growing</v>
      </c>
      <c r="P20" s="4">
        <f>RANK(M20,M$5:M$64,0)+COUNTIF(M$5:M20,M20)-1</f>
        <v>6</v>
      </c>
      <c r="Q20" s="5" t="str">
        <f t="shared" si="0"/>
        <v>No change (Growing)</v>
      </c>
      <c r="R20" s="8">
        <f t="shared" si="1"/>
        <v>10</v>
      </c>
      <c r="S20" s="9">
        <f t="shared" si="2"/>
        <v>10.000019999999999</v>
      </c>
    </row>
    <row r="21" spans="1:19" x14ac:dyDescent="0.3">
      <c r="A21" s="4">
        <v>17</v>
      </c>
      <c r="B21" s="4" t="s">
        <v>53</v>
      </c>
      <c r="C21" s="5" t="s">
        <v>54</v>
      </c>
      <c r="D21" s="6">
        <v>8.81</v>
      </c>
      <c r="E21" s="4">
        <f>RANK(D21,D$5:D$64,0)+COUNTIF(D$5:D21,D21)-1</f>
        <v>4</v>
      </c>
      <c r="F21" s="4" t="str">
        <f>IF(E21&lt;=[1]Summary!$D$7,"Gallant",IF(D21&lt;[1]Summary!$D$5,"Gradual","Growing"))</f>
        <v>Gallant</v>
      </c>
      <c r="G21" s="7">
        <v>72</v>
      </c>
      <c r="H21" s="7">
        <v>22</v>
      </c>
      <c r="I21" s="4">
        <f>ROUND(H21/[1]Summary!$D$4*100,1)</f>
        <v>73.3</v>
      </c>
      <c r="J21" s="4" t="str">
        <f>IF(K21&lt;=[1]Summary!$D$7,"Gallant",IF(I21&lt;[1]Summary!$D$6,"Gradual","Growing"))</f>
        <v>Growing</v>
      </c>
      <c r="K21" s="4">
        <f>RANK(H21,H$5:H$64,0)+COUNTIF(H$5:H21,H21)-1</f>
        <v>20</v>
      </c>
      <c r="L21" s="7">
        <v>89</v>
      </c>
      <c r="M21" s="7">
        <v>30</v>
      </c>
      <c r="N21" s="4">
        <f>ROUND(M21/[1]Summary!$D$4*100,1)</f>
        <v>100</v>
      </c>
      <c r="O21" s="4" t="str">
        <f>IF(P21&lt;=[1]Summary!$D$7,"Gallant",IF(N21&lt;[1]Summary!$D$6,"Gradual","Growing"))</f>
        <v>Gallant</v>
      </c>
      <c r="P21" s="4">
        <f>RANK(M21,M$5:M$64,0)+COUNTIF(M$5:M21,M21)-1</f>
        <v>1</v>
      </c>
      <c r="Q21" s="5" t="str">
        <f t="shared" si="0"/>
        <v>Gallant &gt; Growing &gt; Gallant</v>
      </c>
      <c r="R21" s="8">
        <f t="shared" si="1"/>
        <v>26.7</v>
      </c>
      <c r="S21" s="9">
        <f t="shared" si="2"/>
        <v>26.700021</v>
      </c>
    </row>
    <row r="22" spans="1:19" x14ac:dyDescent="0.3">
      <c r="A22" s="4">
        <v>18</v>
      </c>
      <c r="B22" s="4" t="s">
        <v>55</v>
      </c>
      <c r="C22" s="5" t="s">
        <v>56</v>
      </c>
      <c r="D22" s="6">
        <v>5.72</v>
      </c>
      <c r="E22" s="4">
        <f>RANK(D22,D$5:D$64,0)+COUNTIF(D$5:D22,D22)-1</f>
        <v>38</v>
      </c>
      <c r="F22" s="4" t="str">
        <f>IF(E22&lt;=[1]Summary!$D$7,"Gallant",IF(D22&lt;[1]Summary!$D$5,"Gradual","Growing"))</f>
        <v>Growing</v>
      </c>
      <c r="G22" s="7">
        <v>96</v>
      </c>
      <c r="H22" s="7">
        <v>22</v>
      </c>
      <c r="I22" s="4">
        <f>ROUND(H22/[1]Summary!$D$4*100,1)</f>
        <v>73.3</v>
      </c>
      <c r="J22" s="4" t="str">
        <f>IF(K22&lt;=[1]Summary!$D$7,"Gallant",IF(I22&lt;[1]Summary!$D$6,"Gradual","Growing"))</f>
        <v>Growing</v>
      </c>
      <c r="K22" s="4">
        <f>RANK(H22,H$5:H$64,0)+COUNTIF(H$5:H22,H22)-1</f>
        <v>21</v>
      </c>
      <c r="L22" s="7">
        <v>78</v>
      </c>
      <c r="M22" s="7">
        <v>23</v>
      </c>
      <c r="N22" s="4">
        <f>ROUND(M22/[1]Summary!$D$4*100,1)</f>
        <v>76.7</v>
      </c>
      <c r="O22" s="4" t="str">
        <f>IF(P22&lt;=[1]Summary!$D$7,"Gallant",IF(N22&lt;[1]Summary!$D$6,"Gradual","Growing"))</f>
        <v>Growing</v>
      </c>
      <c r="P22" s="4">
        <f>RANK(M22,M$5:M$64,0)+COUNTIF(M$5:M22,M22)-1</f>
        <v>18</v>
      </c>
      <c r="Q22" s="5" t="str">
        <f t="shared" si="0"/>
        <v>No change (Growing)</v>
      </c>
      <c r="R22" s="8">
        <f t="shared" si="1"/>
        <v>3.4</v>
      </c>
      <c r="S22" s="9">
        <f t="shared" si="2"/>
        <v>3.4000219999999999</v>
      </c>
    </row>
    <row r="23" spans="1:19" x14ac:dyDescent="0.3">
      <c r="A23" s="4">
        <v>19</v>
      </c>
      <c r="B23" s="4" t="s">
        <v>57</v>
      </c>
      <c r="C23" s="5" t="s">
        <v>58</v>
      </c>
      <c r="D23" s="6">
        <v>8.7899999999999991</v>
      </c>
      <c r="E23" s="4">
        <f>RANK(D23,D$5:D$64,0)+COUNTIF(D$5:D23,D23)-1</f>
        <v>5</v>
      </c>
      <c r="F23" s="4" t="str">
        <f>IF(E23&lt;=[1]Summary!$D$7,"Gallant",IF(D23&lt;[1]Summary!$D$5,"Gradual","Growing"))</f>
        <v>Gallant</v>
      </c>
      <c r="G23" s="7">
        <v>62</v>
      </c>
      <c r="H23" s="7">
        <v>24</v>
      </c>
      <c r="I23" s="4">
        <f>ROUND(H23/[1]Summary!$D$4*100,1)</f>
        <v>80</v>
      </c>
      <c r="J23" s="4" t="str">
        <f>IF(K23&lt;=[1]Summary!$D$7,"Gallant",IF(I23&lt;[1]Summary!$D$6,"Gradual","Growing"))</f>
        <v>Growing</v>
      </c>
      <c r="K23" s="4">
        <f>RANK(H23,H$5:H$64,0)+COUNTIF(H$5:H23,H23)-1</f>
        <v>13</v>
      </c>
      <c r="L23" s="7">
        <v>91</v>
      </c>
      <c r="M23" s="7">
        <v>27</v>
      </c>
      <c r="N23" s="4">
        <f>ROUND(M23/[1]Summary!$D$4*100,1)</f>
        <v>90</v>
      </c>
      <c r="O23" s="4" t="str">
        <f>IF(P23&lt;=[1]Summary!$D$7,"Gallant",IF(N23&lt;[1]Summary!$D$6,"Gradual","Growing"))</f>
        <v>Growing</v>
      </c>
      <c r="P23" s="4">
        <f>RANK(M23,M$5:M$64,0)+COUNTIF(M$5:M23,M23)-1</f>
        <v>7</v>
      </c>
      <c r="Q23" s="5" t="str">
        <f t="shared" si="0"/>
        <v>Gallant &gt; Growing &gt; Growing</v>
      </c>
      <c r="R23" s="8">
        <f t="shared" si="1"/>
        <v>10</v>
      </c>
      <c r="S23" s="9">
        <f t="shared" si="2"/>
        <v>10.000023000000001</v>
      </c>
    </row>
    <row r="24" spans="1:19" x14ac:dyDescent="0.3">
      <c r="A24" s="4">
        <v>20</v>
      </c>
      <c r="B24" s="4" t="s">
        <v>59</v>
      </c>
      <c r="C24" s="5" t="s">
        <v>60</v>
      </c>
      <c r="D24" s="6">
        <v>7.01</v>
      </c>
      <c r="E24" s="4">
        <f>RANK(D24,D$5:D$64,0)+COUNTIF(D$5:D24,D24)-1</f>
        <v>23</v>
      </c>
      <c r="F24" s="4" t="str">
        <f>IF(E24&lt;=[1]Summary!$D$7,"Gallant",IF(D24&lt;[1]Summary!$D$5,"Gradual","Growing"))</f>
        <v>Growing</v>
      </c>
      <c r="G24" s="7">
        <v>71</v>
      </c>
      <c r="H24" s="7">
        <v>25</v>
      </c>
      <c r="I24" s="4">
        <f>ROUND(H24/[1]Summary!$D$4*100,1)</f>
        <v>83.3</v>
      </c>
      <c r="J24" s="4" t="str">
        <f>IF(K24&lt;=[1]Summary!$D$7,"Gallant",IF(I24&lt;[1]Summary!$D$6,"Gradual","Growing"))</f>
        <v>Growing</v>
      </c>
      <c r="K24" s="4">
        <f>RANK(H24,H$5:H$64,0)+COUNTIF(H$5:H24,H24)-1</f>
        <v>9</v>
      </c>
      <c r="L24" s="7">
        <v>80</v>
      </c>
      <c r="M24" s="7">
        <v>27</v>
      </c>
      <c r="N24" s="4">
        <f>ROUND(M24/[1]Summary!$D$4*100,1)</f>
        <v>90</v>
      </c>
      <c r="O24" s="4" t="str">
        <f>IF(P24&lt;=[1]Summary!$D$7,"Gallant",IF(N24&lt;[1]Summary!$D$6,"Gradual","Growing"))</f>
        <v>Growing</v>
      </c>
      <c r="P24" s="4">
        <f>RANK(M24,M$5:M$64,0)+COUNTIF(M$5:M24,M24)-1</f>
        <v>8</v>
      </c>
      <c r="Q24" s="5" t="str">
        <f t="shared" si="0"/>
        <v>No change (Growing)</v>
      </c>
      <c r="R24" s="8">
        <f t="shared" si="1"/>
        <v>6.7</v>
      </c>
      <c r="S24" s="9">
        <f t="shared" si="2"/>
        <v>6.700024</v>
      </c>
    </row>
    <row r="25" spans="1:19" x14ac:dyDescent="0.3">
      <c r="A25" s="4">
        <v>21</v>
      </c>
      <c r="B25" s="4" t="s">
        <v>61</v>
      </c>
      <c r="C25" s="5" t="s">
        <v>62</v>
      </c>
      <c r="D25" s="6">
        <v>6.04</v>
      </c>
      <c r="E25" s="4">
        <f>RANK(D25,D$5:D$64,0)+COUNTIF(D$5:D25,D25)-1</f>
        <v>34</v>
      </c>
      <c r="F25" s="4" t="str">
        <f>IF(E25&lt;=[1]Summary!$D$7,"Gallant",IF(D25&lt;[1]Summary!$D$5,"Gradual","Growing"))</f>
        <v>Growing</v>
      </c>
      <c r="G25" s="7">
        <v>75</v>
      </c>
      <c r="H25" s="7">
        <v>17</v>
      </c>
      <c r="I25" s="4">
        <f>ROUND(H25/[1]Summary!$D$4*100,1)</f>
        <v>56.7</v>
      </c>
      <c r="J25" s="4" t="str">
        <f>IF(K25&lt;=[1]Summary!$D$7,"Gallant",IF(I25&lt;[1]Summary!$D$6,"Gradual","Growing"))</f>
        <v>Growing</v>
      </c>
      <c r="K25" s="4">
        <f>RANK(H25,H$5:H$64,0)+COUNTIF(H$5:H25,H25)-1</f>
        <v>35</v>
      </c>
      <c r="L25" s="7">
        <v>74</v>
      </c>
      <c r="M25" s="7">
        <v>10</v>
      </c>
      <c r="N25" s="4">
        <f>ROUND(M25/[1]Summary!$D$4*100,1)</f>
        <v>33.299999999999997</v>
      </c>
      <c r="O25" s="4" t="str">
        <f>IF(P25&lt;=[1]Summary!$D$7,"Gallant",IF(N25&lt;[1]Summary!$D$6,"Gradual","Growing"))</f>
        <v>Gradual</v>
      </c>
      <c r="P25" s="4">
        <f>RANK(M25,M$5:M$64,0)+COUNTIF(M$5:M25,M25)-1</f>
        <v>56</v>
      </c>
      <c r="Q25" s="5" t="str">
        <f t="shared" si="0"/>
        <v>Growing &gt; Growing &gt; Gradual</v>
      </c>
      <c r="R25" s="8">
        <f t="shared" si="1"/>
        <v>-23.4</v>
      </c>
      <c r="S25" s="9">
        <f t="shared" si="2"/>
        <v>-23.399974999999998</v>
      </c>
    </row>
    <row r="26" spans="1:19" x14ac:dyDescent="0.3">
      <c r="A26" s="4">
        <v>22</v>
      </c>
      <c r="B26" s="4" t="s">
        <v>63</v>
      </c>
      <c r="C26" s="5" t="s">
        <v>64</v>
      </c>
      <c r="D26" s="6">
        <v>9.3699999999999992</v>
      </c>
      <c r="E26" s="4">
        <f>RANK(D26,D$5:D$64,0)+COUNTIF(D$5:D26,D26)-1</f>
        <v>2</v>
      </c>
      <c r="F26" s="4" t="str">
        <f>IF(E26&lt;=[1]Summary!$D$7,"Gallant",IF(D26&lt;[1]Summary!$D$5,"Gradual","Growing"))</f>
        <v>Gallant</v>
      </c>
      <c r="G26" s="7">
        <v>61</v>
      </c>
      <c r="H26" s="7">
        <v>29</v>
      </c>
      <c r="I26" s="4">
        <f>ROUND(H26/[1]Summary!$D$4*100,1)</f>
        <v>96.7</v>
      </c>
      <c r="J26" s="4" t="str">
        <f>IF(K26&lt;=[1]Summary!$D$7,"Gallant",IF(I26&lt;[1]Summary!$D$6,"Gradual","Growing"))</f>
        <v>Gallant</v>
      </c>
      <c r="K26" s="4">
        <f>RANK(H26,H$5:H$64,0)+COUNTIF(H$5:H26,H26)-1</f>
        <v>2</v>
      </c>
      <c r="L26" s="7">
        <v>90</v>
      </c>
      <c r="M26" s="7">
        <v>28</v>
      </c>
      <c r="N26" s="4">
        <f>ROUND(M26/[1]Summary!$D$4*100,1)</f>
        <v>93.3</v>
      </c>
      <c r="O26" s="4" t="str">
        <f>IF(P26&lt;=[1]Summary!$D$7,"Gallant",IF(N26&lt;[1]Summary!$D$6,"Gradual","Growing"))</f>
        <v>Gallant</v>
      </c>
      <c r="P26" s="4">
        <f>RANK(M26,M$5:M$64,0)+COUNTIF(M$5:M26,M26)-1</f>
        <v>5</v>
      </c>
      <c r="Q26" s="5" t="str">
        <f t="shared" si="0"/>
        <v>No change (Gallant)</v>
      </c>
      <c r="R26" s="8">
        <f t="shared" si="1"/>
        <v>-3.4</v>
      </c>
      <c r="S26" s="9">
        <f t="shared" si="2"/>
        <v>-3.3999739999999998</v>
      </c>
    </row>
    <row r="27" spans="1:19" x14ac:dyDescent="0.3">
      <c r="A27" s="4">
        <v>23</v>
      </c>
      <c r="B27" s="4" t="s">
        <v>65</v>
      </c>
      <c r="C27" s="5" t="s">
        <v>66</v>
      </c>
      <c r="D27" s="6">
        <v>3.95</v>
      </c>
      <c r="E27" s="4">
        <f>RANK(D27,D$5:D$64,0)+COUNTIF(D$5:D27,D27)-1</f>
        <v>58</v>
      </c>
      <c r="F27" s="4" t="str">
        <f>IF(E27&lt;=[1]Summary!$D$7,"Gallant",IF(D27&lt;[1]Summary!$D$5,"Gradual","Growing"))</f>
        <v>Gradual</v>
      </c>
      <c r="G27" s="7">
        <v>75</v>
      </c>
      <c r="H27" s="7">
        <v>11</v>
      </c>
      <c r="I27" s="4">
        <f>ROUND(H27/[1]Summary!$D$4*100,1)</f>
        <v>36.700000000000003</v>
      </c>
      <c r="J27" s="4" t="str">
        <f>IF(K27&lt;=[1]Summary!$D$7,"Gallant",IF(I27&lt;[1]Summary!$D$6,"Gradual","Growing"))</f>
        <v>Gradual</v>
      </c>
      <c r="K27" s="4">
        <f>RANK(H27,H$5:H$64,0)+COUNTIF(H$5:H27,H27)-1</f>
        <v>49</v>
      </c>
      <c r="L27" s="7">
        <v>80</v>
      </c>
      <c r="M27" s="7">
        <v>20</v>
      </c>
      <c r="N27" s="4">
        <f>ROUND(M27/[1]Summary!$D$4*100,1)</f>
        <v>66.7</v>
      </c>
      <c r="O27" s="4" t="str">
        <f>IF(P27&lt;=[1]Summary!$D$7,"Gallant",IF(N27&lt;[1]Summary!$D$6,"Gradual","Growing"))</f>
        <v>Growing</v>
      </c>
      <c r="P27" s="4">
        <f>RANK(M27,M$5:M$64,0)+COUNTIF(M$5:M27,M27)-1</f>
        <v>27</v>
      </c>
      <c r="Q27" s="5" t="str">
        <f t="shared" si="0"/>
        <v>Gradual &gt; Gradual &gt; Growing</v>
      </c>
      <c r="R27" s="8">
        <f t="shared" si="1"/>
        <v>30</v>
      </c>
      <c r="S27" s="9">
        <f t="shared" si="2"/>
        <v>30.000026999999999</v>
      </c>
    </row>
    <row r="28" spans="1:19" x14ac:dyDescent="0.3">
      <c r="A28" s="4">
        <v>24</v>
      </c>
      <c r="B28" s="4" t="s">
        <v>67</v>
      </c>
      <c r="C28" s="5" t="s">
        <v>68</v>
      </c>
      <c r="D28" s="6">
        <v>5.83</v>
      </c>
      <c r="E28" s="4">
        <f>RANK(D28,D$5:D$64,0)+COUNTIF(D$5:D28,D28)-1</f>
        <v>37</v>
      </c>
      <c r="F28" s="4" t="str">
        <f>IF(E28&lt;=[1]Summary!$D$7,"Gallant",IF(D28&lt;[1]Summary!$D$5,"Gradual","Growing"))</f>
        <v>Growing</v>
      </c>
      <c r="G28" s="7">
        <v>96</v>
      </c>
      <c r="H28" s="7">
        <v>18</v>
      </c>
      <c r="I28" s="4">
        <f>ROUND(H28/[1]Summary!$D$4*100,1)</f>
        <v>60</v>
      </c>
      <c r="J28" s="4" t="str">
        <f>IF(K28&lt;=[1]Summary!$D$7,"Gallant",IF(I28&lt;[1]Summary!$D$6,"Gradual","Growing"))</f>
        <v>Growing</v>
      </c>
      <c r="K28" s="4">
        <f>RANK(H28,H$5:H$64,0)+COUNTIF(H$5:H28,H28)-1</f>
        <v>32</v>
      </c>
      <c r="L28" s="7">
        <v>79</v>
      </c>
      <c r="M28" s="7">
        <v>20</v>
      </c>
      <c r="N28" s="4">
        <f>ROUND(M28/[1]Summary!$D$4*100,1)</f>
        <v>66.7</v>
      </c>
      <c r="O28" s="4" t="str">
        <f>IF(P28&lt;=[1]Summary!$D$7,"Gallant",IF(N28&lt;[1]Summary!$D$6,"Gradual","Growing"))</f>
        <v>Growing</v>
      </c>
      <c r="P28" s="4">
        <f>RANK(M28,M$5:M$64,0)+COUNTIF(M$5:M28,M28)-1</f>
        <v>28</v>
      </c>
      <c r="Q28" s="5" t="str">
        <f t="shared" si="0"/>
        <v>No change (Growing)</v>
      </c>
      <c r="R28" s="8">
        <f t="shared" si="1"/>
        <v>6.7</v>
      </c>
      <c r="S28" s="9">
        <f t="shared" si="2"/>
        <v>6.7000280000000005</v>
      </c>
    </row>
    <row r="29" spans="1:19" x14ac:dyDescent="0.3">
      <c r="A29" s="4">
        <v>25</v>
      </c>
      <c r="B29" s="4" t="s">
        <v>69</v>
      </c>
      <c r="C29" s="5" t="s">
        <v>70</v>
      </c>
      <c r="D29" s="6">
        <v>3.87</v>
      </c>
      <c r="E29" s="4">
        <f>RANK(D29,D$5:D$64,0)+COUNTIF(D$5:D29,D29)-1</f>
        <v>59</v>
      </c>
      <c r="F29" s="4" t="str">
        <f>IF(E29&lt;=[1]Summary!$D$7,"Gallant",IF(D29&lt;[1]Summary!$D$5,"Gradual","Growing"))</f>
        <v>Gradual</v>
      </c>
      <c r="G29" s="7">
        <v>91</v>
      </c>
      <c r="H29" s="7">
        <v>9</v>
      </c>
      <c r="I29" s="4">
        <f>ROUND(H29/[1]Summary!$D$4*100,1)</f>
        <v>30</v>
      </c>
      <c r="J29" s="4" t="str">
        <f>IF(K29&lt;=[1]Summary!$D$7,"Gallant",IF(I29&lt;[1]Summary!$D$6,"Gradual","Growing"))</f>
        <v>Gradual</v>
      </c>
      <c r="K29" s="4">
        <f>RANK(H29,H$5:H$64,0)+COUNTIF(H$5:H29,H29)-1</f>
        <v>56</v>
      </c>
      <c r="L29" s="7">
        <v>78</v>
      </c>
      <c r="M29" s="7">
        <v>18</v>
      </c>
      <c r="N29" s="4">
        <f>ROUND(M29/[1]Summary!$D$4*100,1)</f>
        <v>60</v>
      </c>
      <c r="O29" s="4" t="str">
        <f>IF(P29&lt;=[1]Summary!$D$7,"Gallant",IF(N29&lt;[1]Summary!$D$6,"Gradual","Growing"))</f>
        <v>Growing</v>
      </c>
      <c r="P29" s="4">
        <f>RANK(M29,M$5:M$64,0)+COUNTIF(M$5:M29,M29)-1</f>
        <v>37</v>
      </c>
      <c r="Q29" s="5" t="str">
        <f t="shared" si="0"/>
        <v>Gradual &gt; Gradual &gt; Growing</v>
      </c>
      <c r="R29" s="8">
        <f t="shared" si="1"/>
        <v>30</v>
      </c>
      <c r="S29" s="9">
        <f t="shared" si="2"/>
        <v>30.000029000000001</v>
      </c>
    </row>
    <row r="30" spans="1:19" x14ac:dyDescent="0.3">
      <c r="A30" s="4">
        <v>26</v>
      </c>
      <c r="B30" s="4" t="s">
        <v>71</v>
      </c>
      <c r="C30" s="5" t="s">
        <v>72</v>
      </c>
      <c r="D30" s="6">
        <v>9.6</v>
      </c>
      <c r="E30" s="4">
        <f>RANK(D30,D$5:D$64,0)+COUNTIF(D$5:D30,D30)-1</f>
        <v>1</v>
      </c>
      <c r="F30" s="4" t="str">
        <f>IF(E30&lt;=[1]Summary!$D$7,"Gallant",IF(D30&lt;[1]Summary!$D$5,"Gradual","Growing"))</f>
        <v>Gallant</v>
      </c>
      <c r="G30" s="7">
        <v>59</v>
      </c>
      <c r="H30" s="7">
        <v>25</v>
      </c>
      <c r="I30" s="4">
        <f>ROUND(H30/[1]Summary!$D$4*100,1)</f>
        <v>83.3</v>
      </c>
      <c r="J30" s="4" t="str">
        <f>IF(K30&lt;=[1]Summary!$D$7,"Gallant",IF(I30&lt;[1]Summary!$D$6,"Gradual","Growing"))</f>
        <v>Growing</v>
      </c>
      <c r="K30" s="4">
        <f>RANK(H30,H$5:H$64,0)+COUNTIF(H$5:H30,H30)-1</f>
        <v>10</v>
      </c>
      <c r="L30" s="7">
        <v>87</v>
      </c>
      <c r="M30" s="7">
        <v>24</v>
      </c>
      <c r="N30" s="4">
        <f>ROUND(M30/[1]Summary!$D$4*100,1)</f>
        <v>80</v>
      </c>
      <c r="O30" s="4" t="str">
        <f>IF(P30&lt;=[1]Summary!$D$7,"Gallant",IF(N30&lt;[1]Summary!$D$6,"Gradual","Growing"))</f>
        <v>Growing</v>
      </c>
      <c r="P30" s="4">
        <f>RANK(M30,M$5:M$64,0)+COUNTIF(M$5:M30,M30)-1</f>
        <v>16</v>
      </c>
      <c r="Q30" s="5" t="str">
        <f t="shared" si="0"/>
        <v>Gallant &gt; Growing &gt; Growing</v>
      </c>
      <c r="R30" s="8">
        <f t="shared" si="1"/>
        <v>-3.3</v>
      </c>
      <c r="S30" s="9">
        <f t="shared" si="2"/>
        <v>-3.2999699999999996</v>
      </c>
    </row>
    <row r="31" spans="1:19" x14ac:dyDescent="0.3">
      <c r="A31" s="4">
        <v>27</v>
      </c>
      <c r="B31" s="4" t="s">
        <v>73</v>
      </c>
      <c r="C31" s="5" t="s">
        <v>74</v>
      </c>
      <c r="D31" s="6">
        <v>7.89</v>
      </c>
      <c r="E31" s="4">
        <f>RANK(D31,D$5:D$64,0)+COUNTIF(D$5:D31,D31)-1</f>
        <v>14</v>
      </c>
      <c r="F31" s="4" t="str">
        <f>IF(E31&lt;=[1]Summary!$D$7,"Gallant",IF(D31&lt;[1]Summary!$D$5,"Gradual","Growing"))</f>
        <v>Growing</v>
      </c>
      <c r="G31" s="7">
        <v>66</v>
      </c>
      <c r="H31" s="7">
        <v>16</v>
      </c>
      <c r="I31" s="4">
        <f>ROUND(H31/[1]Summary!$D$4*100,1)</f>
        <v>53.3</v>
      </c>
      <c r="J31" s="4" t="str">
        <f>IF(K31&lt;=[1]Summary!$D$7,"Gallant",IF(I31&lt;[1]Summary!$D$6,"Gradual","Growing"))</f>
        <v>Growing</v>
      </c>
      <c r="K31" s="4">
        <f>RANK(H31,H$5:H$64,0)+COUNTIF(H$5:H31,H31)-1</f>
        <v>41</v>
      </c>
      <c r="L31" s="7">
        <v>84</v>
      </c>
      <c r="M31" s="7">
        <v>16</v>
      </c>
      <c r="N31" s="4">
        <f>ROUND(M31/[1]Summary!$D$4*100,1)</f>
        <v>53.3</v>
      </c>
      <c r="O31" s="4" t="str">
        <f>IF(P31&lt;=[1]Summary!$D$7,"Gallant",IF(N31&lt;[1]Summary!$D$6,"Gradual","Growing"))</f>
        <v>Growing</v>
      </c>
      <c r="P31" s="4">
        <f>RANK(M31,M$5:M$64,0)+COUNTIF(M$5:M31,M31)-1</f>
        <v>44</v>
      </c>
      <c r="Q31" s="5" t="str">
        <f t="shared" si="0"/>
        <v>No change (Growing)</v>
      </c>
      <c r="R31" s="8">
        <f t="shared" si="1"/>
        <v>0</v>
      </c>
      <c r="S31" s="9">
        <f t="shared" si="2"/>
        <v>3.1000000000000001E-5</v>
      </c>
    </row>
    <row r="32" spans="1:19" x14ac:dyDescent="0.3">
      <c r="A32" s="4">
        <v>28</v>
      </c>
      <c r="B32" s="4" t="s">
        <v>75</v>
      </c>
      <c r="C32" s="5" t="s">
        <v>76</v>
      </c>
      <c r="D32" s="6">
        <v>6.92</v>
      </c>
      <c r="E32" s="4">
        <f>RANK(D32,D$5:D$64,0)+COUNTIF(D$5:D32,D32)-1</f>
        <v>24</v>
      </c>
      <c r="F32" s="4" t="str">
        <f>IF(E32&lt;=[1]Summary!$D$7,"Gallant",IF(D32&lt;[1]Summary!$D$5,"Gradual","Growing"))</f>
        <v>Growing</v>
      </c>
      <c r="G32" s="7">
        <v>71</v>
      </c>
      <c r="H32" s="7">
        <v>11</v>
      </c>
      <c r="I32" s="4">
        <f>ROUND(H32/[1]Summary!$D$4*100,1)</f>
        <v>36.700000000000003</v>
      </c>
      <c r="J32" s="4" t="str">
        <f>IF(K32&lt;=[1]Summary!$D$7,"Gallant",IF(I32&lt;[1]Summary!$D$6,"Gradual","Growing"))</f>
        <v>Gradual</v>
      </c>
      <c r="K32" s="4">
        <f>RANK(H32,H$5:H$64,0)+COUNTIF(H$5:H32,H32)-1</f>
        <v>50</v>
      </c>
      <c r="L32" s="7">
        <v>96</v>
      </c>
      <c r="M32" s="7">
        <v>21</v>
      </c>
      <c r="N32" s="4">
        <f>ROUND(M32/[1]Summary!$D$4*100,1)</f>
        <v>70</v>
      </c>
      <c r="O32" s="4" t="str">
        <f>IF(P32&lt;=[1]Summary!$D$7,"Gallant",IF(N32&lt;[1]Summary!$D$6,"Gradual","Growing"))</f>
        <v>Growing</v>
      </c>
      <c r="P32" s="4">
        <f>RANK(M32,M$5:M$64,0)+COUNTIF(M$5:M32,M32)-1</f>
        <v>25</v>
      </c>
      <c r="Q32" s="5" t="str">
        <f t="shared" si="0"/>
        <v>Growing &gt; Gradual &gt; Growing</v>
      </c>
      <c r="R32" s="8">
        <f t="shared" si="1"/>
        <v>33.299999999999997</v>
      </c>
      <c r="S32" s="9">
        <f t="shared" si="2"/>
        <v>33.300031999999995</v>
      </c>
    </row>
    <row r="33" spans="1:19" x14ac:dyDescent="0.3">
      <c r="A33" s="4">
        <v>29</v>
      </c>
      <c r="B33" s="4" t="s">
        <v>77</v>
      </c>
      <c r="C33" s="5" t="s">
        <v>78</v>
      </c>
      <c r="D33" s="6">
        <v>9.34</v>
      </c>
      <c r="E33" s="4">
        <f>RANK(D33,D$5:D$64,0)+COUNTIF(D$5:D33,D33)-1</f>
        <v>3</v>
      </c>
      <c r="F33" s="4" t="str">
        <f>IF(E33&lt;=[1]Summary!$D$7,"Gallant",IF(D33&lt;[1]Summary!$D$5,"Gradual","Growing"))</f>
        <v>Gallant</v>
      </c>
      <c r="G33" s="7">
        <v>75</v>
      </c>
      <c r="H33" s="7">
        <v>29</v>
      </c>
      <c r="I33" s="4">
        <f>ROUND(H33/[1]Summary!$D$4*100,1)</f>
        <v>96.7</v>
      </c>
      <c r="J33" s="4" t="str">
        <f>IF(K33&lt;=[1]Summary!$D$7,"Gallant",IF(I33&lt;[1]Summary!$D$6,"Gradual","Growing"))</f>
        <v>Gallant</v>
      </c>
      <c r="K33" s="4">
        <f>RANK(H33,H$5:H$64,0)+COUNTIF(H$5:H33,H33)-1</f>
        <v>3</v>
      </c>
      <c r="L33" s="7">
        <v>53</v>
      </c>
      <c r="M33" s="7">
        <v>30</v>
      </c>
      <c r="N33" s="4">
        <f>ROUND(M33/[1]Summary!$D$4*100,1)</f>
        <v>100</v>
      </c>
      <c r="O33" s="4" t="str">
        <f>IF(P33&lt;=[1]Summary!$D$7,"Gallant",IF(N33&lt;[1]Summary!$D$6,"Gradual","Growing"))</f>
        <v>Gallant</v>
      </c>
      <c r="P33" s="4">
        <f>RANK(M33,M$5:M$64,0)+COUNTIF(M$5:M33,M33)-1</f>
        <v>2</v>
      </c>
      <c r="Q33" s="5" t="str">
        <f t="shared" si="0"/>
        <v>No change (Gallant)</v>
      </c>
      <c r="R33" s="8">
        <f t="shared" si="1"/>
        <v>3.3</v>
      </c>
      <c r="S33" s="9">
        <f t="shared" si="2"/>
        <v>3.300033</v>
      </c>
    </row>
    <row r="34" spans="1:19" x14ac:dyDescent="0.3">
      <c r="A34" s="4">
        <v>30</v>
      </c>
      <c r="B34" s="4" t="s">
        <v>79</v>
      </c>
      <c r="C34" s="5" t="s">
        <v>80</v>
      </c>
      <c r="D34" s="6">
        <v>4.1900000000000004</v>
      </c>
      <c r="E34" s="4">
        <f>RANK(D34,D$5:D$64,0)+COUNTIF(D$5:D34,D34)-1</f>
        <v>54</v>
      </c>
      <c r="F34" s="4" t="str">
        <f>IF(E34&lt;=[1]Summary!$D$7,"Gallant",IF(D34&lt;[1]Summary!$D$5,"Gradual","Growing"))</f>
        <v>Growing</v>
      </c>
      <c r="G34" s="7">
        <v>93</v>
      </c>
      <c r="H34" s="7">
        <v>12</v>
      </c>
      <c r="I34" s="4">
        <f>ROUND(H34/[1]Summary!$D$4*100,1)</f>
        <v>40</v>
      </c>
      <c r="J34" s="4" t="str">
        <f>IF(K34&lt;=[1]Summary!$D$7,"Gallant",IF(I34&lt;[1]Summary!$D$6,"Gradual","Growing"))</f>
        <v>Growing</v>
      </c>
      <c r="K34" s="4">
        <f>RANK(H34,H$5:H$64,0)+COUNTIF(H$5:H34,H34)-1</f>
        <v>48</v>
      </c>
      <c r="L34" s="7">
        <v>76</v>
      </c>
      <c r="M34" s="7">
        <v>18</v>
      </c>
      <c r="N34" s="4">
        <f>ROUND(M34/[1]Summary!$D$4*100,1)</f>
        <v>60</v>
      </c>
      <c r="O34" s="4" t="str">
        <f>IF(P34&lt;=[1]Summary!$D$7,"Gallant",IF(N34&lt;[1]Summary!$D$6,"Gradual","Growing"))</f>
        <v>Growing</v>
      </c>
      <c r="P34" s="4">
        <f>RANK(M34,M$5:M$64,0)+COUNTIF(M$5:M34,M34)-1</f>
        <v>38</v>
      </c>
      <c r="Q34" s="5" t="str">
        <f t="shared" si="0"/>
        <v>No change (Growing)</v>
      </c>
      <c r="R34" s="8">
        <f t="shared" si="1"/>
        <v>20</v>
      </c>
      <c r="S34" s="9">
        <f t="shared" si="2"/>
        <v>20.000033999999999</v>
      </c>
    </row>
    <row r="35" spans="1:19" x14ac:dyDescent="0.3">
      <c r="A35" s="4">
        <v>31</v>
      </c>
      <c r="B35" s="4" t="s">
        <v>81</v>
      </c>
      <c r="C35" s="5" t="s">
        <v>82</v>
      </c>
      <c r="D35" s="6">
        <v>6.36</v>
      </c>
      <c r="E35" s="4">
        <f>RANK(D35,D$5:D$64,0)+COUNTIF(D$5:D35,D35)-1</f>
        <v>30</v>
      </c>
      <c r="F35" s="4" t="str">
        <f>IF(E35&lt;=[1]Summary!$D$7,"Gallant",IF(D35&lt;[1]Summary!$D$5,"Gradual","Growing"))</f>
        <v>Growing</v>
      </c>
      <c r="G35" s="7">
        <v>86</v>
      </c>
      <c r="H35" s="7">
        <v>24</v>
      </c>
      <c r="I35" s="4">
        <f>ROUND(H35/[1]Summary!$D$4*100,1)</f>
        <v>80</v>
      </c>
      <c r="J35" s="4" t="str">
        <f>IF(K35&lt;=[1]Summary!$D$7,"Gallant",IF(I35&lt;[1]Summary!$D$6,"Gradual","Growing"))</f>
        <v>Growing</v>
      </c>
      <c r="K35" s="4">
        <f>RANK(H35,H$5:H$64,0)+COUNTIF(H$5:H35,H35)-1</f>
        <v>14</v>
      </c>
      <c r="L35" s="7">
        <v>78</v>
      </c>
      <c r="M35" s="7">
        <v>18</v>
      </c>
      <c r="N35" s="4">
        <f>ROUND(M35/[1]Summary!$D$4*100,1)</f>
        <v>60</v>
      </c>
      <c r="O35" s="4" t="str">
        <f>IF(P35&lt;=[1]Summary!$D$7,"Gallant",IF(N35&lt;[1]Summary!$D$6,"Gradual","Growing"))</f>
        <v>Growing</v>
      </c>
      <c r="P35" s="4">
        <f>RANK(M35,M$5:M$64,0)+COUNTIF(M$5:M35,M35)-1</f>
        <v>39</v>
      </c>
      <c r="Q35" s="5" t="str">
        <f t="shared" si="0"/>
        <v>No change (Growing)</v>
      </c>
      <c r="R35" s="8">
        <f t="shared" si="1"/>
        <v>-20</v>
      </c>
      <c r="S35" s="9">
        <f t="shared" si="2"/>
        <v>-19.999965</v>
      </c>
    </row>
    <row r="36" spans="1:19" x14ac:dyDescent="0.3">
      <c r="A36" s="4">
        <v>32</v>
      </c>
      <c r="B36" s="4" t="s">
        <v>83</v>
      </c>
      <c r="C36" s="5" t="s">
        <v>84</v>
      </c>
      <c r="D36" s="6">
        <v>5.64</v>
      </c>
      <c r="E36" s="4">
        <f>RANK(D36,D$5:D$64,0)+COUNTIF(D$5:D36,D36)-1</f>
        <v>40</v>
      </c>
      <c r="F36" s="4" t="str">
        <f>IF(E36&lt;=[1]Summary!$D$7,"Gallant",IF(D36&lt;[1]Summary!$D$5,"Gradual","Growing"))</f>
        <v>Growing</v>
      </c>
      <c r="G36" s="7">
        <v>78</v>
      </c>
      <c r="H36" s="7">
        <v>21</v>
      </c>
      <c r="I36" s="4">
        <f>ROUND(H36/[1]Summary!$D$4*100,1)</f>
        <v>70</v>
      </c>
      <c r="J36" s="4" t="str">
        <f>IF(K36&lt;=[1]Summary!$D$7,"Gallant",IF(I36&lt;[1]Summary!$D$6,"Gradual","Growing"))</f>
        <v>Growing</v>
      </c>
      <c r="K36" s="4">
        <f>RANK(H36,H$5:H$64,0)+COUNTIF(H$5:H36,H36)-1</f>
        <v>22</v>
      </c>
      <c r="L36" s="7">
        <v>54</v>
      </c>
      <c r="M36" s="7">
        <v>21</v>
      </c>
      <c r="N36" s="4">
        <f>ROUND(M36/[1]Summary!$D$4*100,1)</f>
        <v>70</v>
      </c>
      <c r="O36" s="4" t="str">
        <f>IF(P36&lt;=[1]Summary!$D$7,"Gallant",IF(N36&lt;[1]Summary!$D$6,"Gradual","Growing"))</f>
        <v>Growing</v>
      </c>
      <c r="P36" s="4">
        <f>RANK(M36,M$5:M$64,0)+COUNTIF(M$5:M36,M36)-1</f>
        <v>26</v>
      </c>
      <c r="Q36" s="5" t="str">
        <f t="shared" si="0"/>
        <v>No change (Growing)</v>
      </c>
      <c r="R36" s="8">
        <f t="shared" si="1"/>
        <v>0</v>
      </c>
      <c r="S36" s="9">
        <f t="shared" si="2"/>
        <v>3.6000000000000001E-5</v>
      </c>
    </row>
    <row r="37" spans="1:19" x14ac:dyDescent="0.3">
      <c r="A37" s="4">
        <v>33</v>
      </c>
      <c r="B37" s="4" t="s">
        <v>85</v>
      </c>
      <c r="C37" s="5" t="s">
        <v>86</v>
      </c>
      <c r="D37" s="6">
        <v>7.3</v>
      </c>
      <c r="E37" s="4">
        <f>RANK(D37,D$5:D$64,0)+COUNTIF(D$5:D37,D37)-1</f>
        <v>20</v>
      </c>
      <c r="F37" s="4" t="str">
        <f>IF(E37&lt;=[1]Summary!$D$7,"Gallant",IF(D37&lt;[1]Summary!$D$5,"Gradual","Growing"))</f>
        <v>Growing</v>
      </c>
      <c r="G37" s="7">
        <v>98</v>
      </c>
      <c r="H37" s="7">
        <v>27</v>
      </c>
      <c r="I37" s="4">
        <f>ROUND(H37/[1]Summary!$D$4*100,1)</f>
        <v>90</v>
      </c>
      <c r="J37" s="4" t="str">
        <f>IF(K37&lt;=[1]Summary!$D$7,"Gallant",IF(I37&lt;[1]Summary!$D$6,"Gradual","Growing"))</f>
        <v>Growing</v>
      </c>
      <c r="K37" s="4">
        <f>RANK(H37,H$5:H$64,0)+COUNTIF(H$5:H37,H37)-1</f>
        <v>6</v>
      </c>
      <c r="L37" s="7">
        <v>93</v>
      </c>
      <c r="M37" s="7">
        <v>26</v>
      </c>
      <c r="N37" s="4">
        <f>ROUND(M37/[1]Summary!$D$4*100,1)</f>
        <v>86.7</v>
      </c>
      <c r="O37" s="4" t="str">
        <f>IF(P37&lt;=[1]Summary!$D$7,"Gallant",IF(N37&lt;[1]Summary!$D$6,"Gradual","Growing"))</f>
        <v>Growing</v>
      </c>
      <c r="P37" s="4">
        <f>RANK(M37,M$5:M$64,0)+COUNTIF(M$5:M37,M37)-1</f>
        <v>11</v>
      </c>
      <c r="Q37" s="5" t="str">
        <f t="shared" si="0"/>
        <v>No change (Growing)</v>
      </c>
      <c r="R37" s="8">
        <f t="shared" si="1"/>
        <v>-3.3</v>
      </c>
      <c r="S37" s="9">
        <f t="shared" si="2"/>
        <v>-3.299963</v>
      </c>
    </row>
    <row r="38" spans="1:19" x14ac:dyDescent="0.3">
      <c r="A38" s="4">
        <v>34</v>
      </c>
      <c r="B38" s="4" t="s">
        <v>87</v>
      </c>
      <c r="C38" s="5" t="s">
        <v>88</v>
      </c>
      <c r="D38" s="6">
        <v>4.84</v>
      </c>
      <c r="E38" s="4">
        <f>RANK(D38,D$5:D$64,0)+COUNTIF(D$5:D38,D38)-1</f>
        <v>47</v>
      </c>
      <c r="F38" s="4" t="str">
        <f>IF(E38&lt;=[1]Summary!$D$7,"Gallant",IF(D38&lt;[1]Summary!$D$5,"Gradual","Growing"))</f>
        <v>Growing</v>
      </c>
      <c r="G38" s="7">
        <v>58</v>
      </c>
      <c r="H38" s="7">
        <v>7</v>
      </c>
      <c r="I38" s="4">
        <f>ROUND(H38/[1]Summary!$D$4*100,1)</f>
        <v>23.3</v>
      </c>
      <c r="J38" s="4" t="str">
        <f>IF(K38&lt;=[1]Summary!$D$7,"Gallant",IF(I38&lt;[1]Summary!$D$6,"Gradual","Growing"))</f>
        <v>Gradual</v>
      </c>
      <c r="K38" s="4">
        <f>RANK(H38,H$5:H$64,0)+COUNTIF(H$5:H38,H38)-1</f>
        <v>60</v>
      </c>
      <c r="L38" s="7">
        <v>77</v>
      </c>
      <c r="M38" s="7">
        <v>15</v>
      </c>
      <c r="N38" s="4">
        <f>ROUND(M38/[1]Summary!$D$4*100,1)</f>
        <v>50</v>
      </c>
      <c r="O38" s="4" t="str">
        <f>IF(P38&lt;=[1]Summary!$D$7,"Gallant",IF(N38&lt;[1]Summary!$D$6,"Gradual","Growing"))</f>
        <v>Growing</v>
      </c>
      <c r="P38" s="4">
        <f>RANK(M38,M$5:M$64,0)+COUNTIF(M$5:M38,M38)-1</f>
        <v>48</v>
      </c>
      <c r="Q38" s="5" t="str">
        <f t="shared" si="0"/>
        <v>Growing &gt; Gradual &gt; Growing</v>
      </c>
      <c r="R38" s="8">
        <f t="shared" si="1"/>
        <v>26.7</v>
      </c>
      <c r="S38" s="9">
        <f t="shared" si="2"/>
        <v>26.700037999999999</v>
      </c>
    </row>
    <row r="39" spans="1:19" x14ac:dyDescent="0.3">
      <c r="A39" s="4">
        <v>35</v>
      </c>
      <c r="B39" s="4" t="s">
        <v>89</v>
      </c>
      <c r="C39" s="5" t="s">
        <v>90</v>
      </c>
      <c r="D39" s="6">
        <v>6.3</v>
      </c>
      <c r="E39" s="4">
        <f>RANK(D39,D$5:D$64,0)+COUNTIF(D$5:D39,D39)-1</f>
        <v>31</v>
      </c>
      <c r="F39" s="4" t="str">
        <f>IF(E39&lt;=[1]Summary!$D$7,"Gallant",IF(D39&lt;[1]Summary!$D$5,"Gradual","Growing"))</f>
        <v>Growing</v>
      </c>
      <c r="G39" s="7">
        <v>81</v>
      </c>
      <c r="H39" s="7">
        <v>16</v>
      </c>
      <c r="I39" s="4">
        <f>ROUND(H39/[1]Summary!$D$4*100,1)</f>
        <v>53.3</v>
      </c>
      <c r="J39" s="4" t="str">
        <f>IF(K39&lt;=[1]Summary!$D$7,"Gallant",IF(I39&lt;[1]Summary!$D$6,"Gradual","Growing"))</f>
        <v>Growing</v>
      </c>
      <c r="K39" s="4">
        <f>RANK(H39,H$5:H$64,0)+COUNTIF(H$5:H39,H39)-1</f>
        <v>42</v>
      </c>
      <c r="L39" s="7">
        <v>91</v>
      </c>
      <c r="M39" s="7">
        <v>19</v>
      </c>
      <c r="N39" s="4">
        <f>ROUND(M39/[1]Summary!$D$4*100,1)</f>
        <v>63.3</v>
      </c>
      <c r="O39" s="4" t="str">
        <f>IF(P39&lt;=[1]Summary!$D$7,"Gallant",IF(N39&lt;[1]Summary!$D$6,"Gradual","Growing"))</f>
        <v>Growing</v>
      </c>
      <c r="P39" s="4">
        <f>RANK(M39,M$5:M$64,0)+COUNTIF(M$5:M39,M39)-1</f>
        <v>35</v>
      </c>
      <c r="Q39" s="5" t="str">
        <f t="shared" si="0"/>
        <v>No change (Growing)</v>
      </c>
      <c r="R39" s="8">
        <f t="shared" si="1"/>
        <v>10</v>
      </c>
      <c r="S39" s="9">
        <f t="shared" si="2"/>
        <v>10.000038999999999</v>
      </c>
    </row>
    <row r="40" spans="1:19" x14ac:dyDescent="0.3">
      <c r="A40" s="4">
        <v>36</v>
      </c>
      <c r="B40" s="4" t="s">
        <v>91</v>
      </c>
      <c r="C40" s="5" t="s">
        <v>92</v>
      </c>
      <c r="D40" s="6">
        <v>6.06</v>
      </c>
      <c r="E40" s="4">
        <f>RANK(D40,D$5:D$64,0)+COUNTIF(D$5:D40,D40)-1</f>
        <v>33</v>
      </c>
      <c r="F40" s="4" t="str">
        <f>IF(E40&lt;=[1]Summary!$D$7,"Gallant",IF(D40&lt;[1]Summary!$D$5,"Gradual","Growing"))</f>
        <v>Growing</v>
      </c>
      <c r="G40" s="7">
        <v>79</v>
      </c>
      <c r="H40" s="7">
        <v>20</v>
      </c>
      <c r="I40" s="4">
        <f>ROUND(H40/[1]Summary!$D$4*100,1)</f>
        <v>66.7</v>
      </c>
      <c r="J40" s="4" t="str">
        <f>IF(K40&lt;=[1]Summary!$D$7,"Gallant",IF(I40&lt;[1]Summary!$D$6,"Gradual","Growing"))</f>
        <v>Growing</v>
      </c>
      <c r="K40" s="4">
        <f>RANK(H40,H$5:H$64,0)+COUNTIF(H$5:H40,H40)-1</f>
        <v>25</v>
      </c>
      <c r="L40" s="7">
        <v>71</v>
      </c>
      <c r="M40" s="7">
        <v>20</v>
      </c>
      <c r="N40" s="4">
        <f>ROUND(M40/[1]Summary!$D$4*100,1)</f>
        <v>66.7</v>
      </c>
      <c r="O40" s="4" t="str">
        <f>IF(P40&lt;=[1]Summary!$D$7,"Gallant",IF(N40&lt;[1]Summary!$D$6,"Gradual","Growing"))</f>
        <v>Growing</v>
      </c>
      <c r="P40" s="4">
        <f>RANK(M40,M$5:M$64,0)+COUNTIF(M$5:M40,M40)-1</f>
        <v>29</v>
      </c>
      <c r="Q40" s="5" t="str">
        <f t="shared" si="0"/>
        <v>No change (Growing)</v>
      </c>
      <c r="R40" s="8">
        <f t="shared" si="1"/>
        <v>0</v>
      </c>
      <c r="S40" s="9">
        <f t="shared" si="2"/>
        <v>4.0000000000000003E-5</v>
      </c>
    </row>
    <row r="41" spans="1:19" x14ac:dyDescent="0.3">
      <c r="A41" s="4">
        <v>37</v>
      </c>
      <c r="B41" s="4" t="s">
        <v>93</v>
      </c>
      <c r="C41" s="5" t="s">
        <v>94</v>
      </c>
      <c r="D41" s="6">
        <v>4.01</v>
      </c>
      <c r="E41" s="4">
        <f>RANK(D41,D$5:D$64,0)+COUNTIF(D$5:D41,D41)-1</f>
        <v>56</v>
      </c>
      <c r="F41" s="4" t="str">
        <f>IF(E41&lt;=[1]Summary!$D$7,"Gallant",IF(D41&lt;[1]Summary!$D$5,"Gradual","Growing"))</f>
        <v>Growing</v>
      </c>
      <c r="G41" s="7">
        <v>88</v>
      </c>
      <c r="H41" s="7">
        <v>10</v>
      </c>
      <c r="I41" s="4">
        <f>ROUND(H41/[1]Summary!$D$4*100,1)</f>
        <v>33.299999999999997</v>
      </c>
      <c r="J41" s="4" t="str">
        <f>IF(K41&lt;=[1]Summary!$D$7,"Gallant",IF(I41&lt;[1]Summary!$D$6,"Gradual","Growing"))</f>
        <v>Gradual</v>
      </c>
      <c r="K41" s="4">
        <f>RANK(H41,H$5:H$64,0)+COUNTIF(H$5:H41,H41)-1</f>
        <v>54</v>
      </c>
      <c r="L41" s="7">
        <v>91</v>
      </c>
      <c r="M41" s="7">
        <v>10</v>
      </c>
      <c r="N41" s="4">
        <f>ROUND(M41/[1]Summary!$D$4*100,1)</f>
        <v>33.299999999999997</v>
      </c>
      <c r="O41" s="4" t="str">
        <f>IF(P41&lt;=[1]Summary!$D$7,"Gallant",IF(N41&lt;[1]Summary!$D$6,"Gradual","Growing"))</f>
        <v>Gradual</v>
      </c>
      <c r="P41" s="4">
        <f>RANK(M41,M$5:M$64,0)+COUNTIF(M$5:M41,M41)-1</f>
        <v>57</v>
      </c>
      <c r="Q41" s="5" t="str">
        <f t="shared" si="0"/>
        <v>Growing &gt; Gradual &gt; Gradual</v>
      </c>
      <c r="R41" s="8">
        <f t="shared" si="1"/>
        <v>0</v>
      </c>
      <c r="S41" s="9">
        <f t="shared" si="2"/>
        <v>4.1E-5</v>
      </c>
    </row>
    <row r="42" spans="1:19" x14ac:dyDescent="0.3">
      <c r="A42" s="4">
        <v>38</v>
      </c>
      <c r="B42" s="4" t="s">
        <v>95</v>
      </c>
      <c r="C42" s="5" t="s">
        <v>96</v>
      </c>
      <c r="D42" s="6">
        <v>6.89</v>
      </c>
      <c r="E42" s="4">
        <f>RANK(D42,D$5:D$64,0)+COUNTIF(D$5:D42,D42)-1</f>
        <v>26</v>
      </c>
      <c r="F42" s="4" t="str">
        <f>IF(E42&lt;=[1]Summary!$D$7,"Gallant",IF(D42&lt;[1]Summary!$D$5,"Gradual","Growing"))</f>
        <v>Growing</v>
      </c>
      <c r="G42" s="7">
        <v>75</v>
      </c>
      <c r="H42" s="7">
        <v>20</v>
      </c>
      <c r="I42" s="4">
        <f>ROUND(H42/[1]Summary!$D$4*100,1)</f>
        <v>66.7</v>
      </c>
      <c r="J42" s="4" t="str">
        <f>IF(K42&lt;=[1]Summary!$D$7,"Gallant",IF(I42&lt;[1]Summary!$D$6,"Gradual","Growing"))</f>
        <v>Growing</v>
      </c>
      <c r="K42" s="4">
        <f>RANK(H42,H$5:H$64,0)+COUNTIF(H$5:H42,H42)-1</f>
        <v>26</v>
      </c>
      <c r="L42" s="7">
        <v>81</v>
      </c>
      <c r="M42" s="7">
        <v>18</v>
      </c>
      <c r="N42" s="4">
        <f>ROUND(M42/[1]Summary!$D$4*100,1)</f>
        <v>60</v>
      </c>
      <c r="O42" s="4" t="str">
        <f>IF(P42&lt;=[1]Summary!$D$7,"Gallant",IF(N42&lt;[1]Summary!$D$6,"Gradual","Growing"))</f>
        <v>Growing</v>
      </c>
      <c r="P42" s="4">
        <f>RANK(M42,M$5:M$64,0)+COUNTIF(M$5:M42,M42)-1</f>
        <v>40</v>
      </c>
      <c r="Q42" s="5" t="str">
        <f t="shared" si="0"/>
        <v>No change (Growing)</v>
      </c>
      <c r="R42" s="8">
        <f t="shared" si="1"/>
        <v>-6.7</v>
      </c>
      <c r="S42" s="9">
        <f t="shared" si="2"/>
        <v>-6.6999580000000005</v>
      </c>
    </row>
    <row r="43" spans="1:19" x14ac:dyDescent="0.3">
      <c r="A43" s="4">
        <v>39</v>
      </c>
      <c r="B43" s="4" t="s">
        <v>97</v>
      </c>
      <c r="C43" s="5" t="s">
        <v>98</v>
      </c>
      <c r="D43" s="6">
        <v>7.91</v>
      </c>
      <c r="E43" s="4">
        <f>RANK(D43,D$5:D$64,0)+COUNTIF(D$5:D43,D43)-1</f>
        <v>13</v>
      </c>
      <c r="F43" s="4" t="str">
        <f>IF(E43&lt;=[1]Summary!$D$7,"Gallant",IF(D43&lt;[1]Summary!$D$5,"Gradual","Growing"))</f>
        <v>Growing</v>
      </c>
      <c r="G43" s="7">
        <v>92</v>
      </c>
      <c r="H43" s="7">
        <v>21</v>
      </c>
      <c r="I43" s="4">
        <f>ROUND(H43/[1]Summary!$D$4*100,1)</f>
        <v>70</v>
      </c>
      <c r="J43" s="4" t="str">
        <f>IF(K43&lt;=[1]Summary!$D$7,"Gallant",IF(I43&lt;[1]Summary!$D$6,"Gradual","Growing"))</f>
        <v>Growing</v>
      </c>
      <c r="K43" s="4">
        <f>RANK(H43,H$5:H$64,0)+COUNTIF(H$5:H43,H43)-1</f>
        <v>23</v>
      </c>
      <c r="L43" s="7">
        <v>92</v>
      </c>
      <c r="M43" s="7">
        <v>16</v>
      </c>
      <c r="N43" s="4">
        <f>ROUND(M43/[1]Summary!$D$4*100,1)</f>
        <v>53.3</v>
      </c>
      <c r="O43" s="4" t="str">
        <f>IF(P43&lt;=[1]Summary!$D$7,"Gallant",IF(N43&lt;[1]Summary!$D$6,"Gradual","Growing"))</f>
        <v>Growing</v>
      </c>
      <c r="P43" s="4">
        <f>RANK(M43,M$5:M$64,0)+COUNTIF(M$5:M43,M43)-1</f>
        <v>45</v>
      </c>
      <c r="Q43" s="5" t="str">
        <f t="shared" si="0"/>
        <v>No change (Growing)</v>
      </c>
      <c r="R43" s="8">
        <f t="shared" si="1"/>
        <v>-16.7</v>
      </c>
      <c r="S43" s="9">
        <f t="shared" si="2"/>
        <v>-16.699956999999998</v>
      </c>
    </row>
    <row r="44" spans="1:19" x14ac:dyDescent="0.3">
      <c r="A44" s="4">
        <v>40</v>
      </c>
      <c r="B44" s="4" t="s">
        <v>99</v>
      </c>
      <c r="C44" s="5" t="s">
        <v>100</v>
      </c>
      <c r="D44" s="6">
        <v>3.98</v>
      </c>
      <c r="E44" s="4">
        <f>RANK(D44,D$5:D$64,0)+COUNTIF(D$5:D44,D44)-1</f>
        <v>57</v>
      </c>
      <c r="F44" s="4" t="str">
        <f>IF(E44&lt;=[1]Summary!$D$7,"Gallant",IF(D44&lt;[1]Summary!$D$5,"Gradual","Growing"))</f>
        <v>Gradual</v>
      </c>
      <c r="G44" s="7">
        <v>86</v>
      </c>
      <c r="H44" s="7">
        <v>11</v>
      </c>
      <c r="I44" s="4">
        <f>ROUND(H44/[1]Summary!$D$4*100,1)</f>
        <v>36.700000000000003</v>
      </c>
      <c r="J44" s="4" t="str">
        <f>IF(K44&lt;=[1]Summary!$D$7,"Gallant",IF(I44&lt;[1]Summary!$D$6,"Gradual","Growing"))</f>
        <v>Gradual</v>
      </c>
      <c r="K44" s="4">
        <f>RANK(H44,H$5:H$64,0)+COUNTIF(H$5:H44,H44)-1</f>
        <v>51</v>
      </c>
      <c r="L44" s="7">
        <v>84</v>
      </c>
      <c r="M44" s="7">
        <v>14</v>
      </c>
      <c r="N44" s="4">
        <f>ROUND(M44/[1]Summary!$D$4*100,1)</f>
        <v>46.7</v>
      </c>
      <c r="O44" s="4" t="str">
        <f>IF(P44&lt;=[1]Summary!$D$7,"Gallant",IF(N44&lt;[1]Summary!$D$6,"Gradual","Growing"))</f>
        <v>Growing</v>
      </c>
      <c r="P44" s="4">
        <f>RANK(M44,M$5:M$64,0)+COUNTIF(M$5:M44,M44)-1</f>
        <v>51</v>
      </c>
      <c r="Q44" s="5" t="str">
        <f t="shared" si="0"/>
        <v>Gradual &gt; Gradual &gt; Growing</v>
      </c>
      <c r="R44" s="8">
        <f t="shared" si="1"/>
        <v>10</v>
      </c>
      <c r="S44" s="9">
        <f t="shared" si="2"/>
        <v>10.000044000000001</v>
      </c>
    </row>
    <row r="45" spans="1:19" x14ac:dyDescent="0.3">
      <c r="A45" s="4">
        <v>41</v>
      </c>
      <c r="B45" s="4" t="s">
        <v>101</v>
      </c>
      <c r="C45" s="5" t="s">
        <v>102</v>
      </c>
      <c r="D45" s="6">
        <v>7.76</v>
      </c>
      <c r="E45" s="4">
        <f>RANK(D45,D$5:D$64,0)+COUNTIF(D$5:D45,D45)-1</f>
        <v>16</v>
      </c>
      <c r="F45" s="4" t="str">
        <f>IF(E45&lt;=[1]Summary!$D$7,"Gallant",IF(D45&lt;[1]Summary!$D$5,"Gradual","Growing"))</f>
        <v>Growing</v>
      </c>
      <c r="G45" s="7">
        <v>88</v>
      </c>
      <c r="H45" s="7">
        <v>19</v>
      </c>
      <c r="I45" s="4">
        <f>ROUND(H45/[1]Summary!$D$4*100,1)</f>
        <v>63.3</v>
      </c>
      <c r="J45" s="4" t="str">
        <f>IF(K45&lt;=[1]Summary!$D$7,"Gallant",IF(I45&lt;[1]Summary!$D$6,"Gradual","Growing"))</f>
        <v>Growing</v>
      </c>
      <c r="K45" s="4">
        <f>RANK(H45,H$5:H$64,0)+COUNTIF(H$5:H45,H45)-1</f>
        <v>29</v>
      </c>
      <c r="L45" s="7">
        <v>75</v>
      </c>
      <c r="M45" s="7">
        <v>26</v>
      </c>
      <c r="N45" s="4">
        <f>ROUND(M45/[1]Summary!$D$4*100,1)</f>
        <v>86.7</v>
      </c>
      <c r="O45" s="4" t="str">
        <f>IF(P45&lt;=[1]Summary!$D$7,"Gallant",IF(N45&lt;[1]Summary!$D$6,"Gradual","Growing"))</f>
        <v>Growing</v>
      </c>
      <c r="P45" s="4">
        <f>RANK(M45,M$5:M$64,0)+COUNTIF(M$5:M45,M45)-1</f>
        <v>12</v>
      </c>
      <c r="Q45" s="5" t="str">
        <f t="shared" si="0"/>
        <v>No change (Growing)</v>
      </c>
      <c r="R45" s="8">
        <f t="shared" si="1"/>
        <v>23.4</v>
      </c>
      <c r="S45" s="9">
        <f t="shared" si="2"/>
        <v>23.400044999999999</v>
      </c>
    </row>
    <row r="46" spans="1:19" x14ac:dyDescent="0.3">
      <c r="A46" s="4">
        <v>42</v>
      </c>
      <c r="B46" s="4" t="s">
        <v>103</v>
      </c>
      <c r="C46" s="5" t="s">
        <v>104</v>
      </c>
      <c r="D46" s="6">
        <v>5.12</v>
      </c>
      <c r="E46" s="4">
        <f>RANK(D46,D$5:D$64,0)+COUNTIF(D$5:D46,D46)-1</f>
        <v>44</v>
      </c>
      <c r="F46" s="4" t="str">
        <f>IF(E46&lt;=[1]Summary!$D$7,"Gallant",IF(D46&lt;[1]Summary!$D$5,"Gradual","Growing"))</f>
        <v>Growing</v>
      </c>
      <c r="G46" s="7">
        <v>97</v>
      </c>
      <c r="H46" s="7">
        <v>17</v>
      </c>
      <c r="I46" s="4">
        <f>ROUND(H46/[1]Summary!$D$4*100,1)</f>
        <v>56.7</v>
      </c>
      <c r="J46" s="4" t="str">
        <f>IF(K46&lt;=[1]Summary!$D$7,"Gallant",IF(I46&lt;[1]Summary!$D$6,"Gradual","Growing"))</f>
        <v>Growing</v>
      </c>
      <c r="K46" s="4">
        <f>RANK(H46,H$5:H$64,0)+COUNTIF(H$5:H46,H46)-1</f>
        <v>36</v>
      </c>
      <c r="L46" s="7">
        <v>83</v>
      </c>
      <c r="M46" s="7">
        <v>16</v>
      </c>
      <c r="N46" s="4">
        <f>ROUND(M46/[1]Summary!$D$4*100,1)</f>
        <v>53.3</v>
      </c>
      <c r="O46" s="4" t="str">
        <f>IF(P46&lt;=[1]Summary!$D$7,"Gallant",IF(N46&lt;[1]Summary!$D$6,"Gradual","Growing"))</f>
        <v>Growing</v>
      </c>
      <c r="P46" s="4">
        <f>RANK(M46,M$5:M$64,0)+COUNTIF(M$5:M46,M46)-1</f>
        <v>46</v>
      </c>
      <c r="Q46" s="5" t="str">
        <f t="shared" si="0"/>
        <v>No change (Growing)</v>
      </c>
      <c r="R46" s="8">
        <f t="shared" si="1"/>
        <v>-3.4</v>
      </c>
      <c r="S46" s="9">
        <f t="shared" si="2"/>
        <v>-3.3999539999999997</v>
      </c>
    </row>
    <row r="47" spans="1:19" x14ac:dyDescent="0.3">
      <c r="A47" s="4">
        <v>43</v>
      </c>
      <c r="B47" s="4" t="s">
        <v>105</v>
      </c>
      <c r="C47" s="5" t="s">
        <v>106</v>
      </c>
      <c r="D47" s="6">
        <v>8.0299999999999994</v>
      </c>
      <c r="E47" s="4">
        <f>RANK(D47,D$5:D$64,0)+COUNTIF(D$5:D47,D47)-1</f>
        <v>12</v>
      </c>
      <c r="F47" s="4" t="str">
        <f>IF(E47&lt;=[1]Summary!$D$7,"Gallant",IF(D47&lt;[1]Summary!$D$5,"Gradual","Growing"))</f>
        <v>Growing</v>
      </c>
      <c r="G47" s="7">
        <v>86</v>
      </c>
      <c r="H47" s="7">
        <v>25</v>
      </c>
      <c r="I47" s="4">
        <f>ROUND(H47/[1]Summary!$D$4*100,1)</f>
        <v>83.3</v>
      </c>
      <c r="J47" s="4" t="str">
        <f>IF(K47&lt;=[1]Summary!$D$7,"Gallant",IF(I47&lt;[1]Summary!$D$6,"Gradual","Growing"))</f>
        <v>Growing</v>
      </c>
      <c r="K47" s="4">
        <f>RANK(H47,H$5:H$64,0)+COUNTIF(H$5:H47,H47)-1</f>
        <v>11</v>
      </c>
      <c r="L47" s="7">
        <v>76</v>
      </c>
      <c r="M47" s="7">
        <v>22</v>
      </c>
      <c r="N47" s="4">
        <f>ROUND(M47/[1]Summary!$D$4*100,1)</f>
        <v>73.3</v>
      </c>
      <c r="O47" s="4" t="str">
        <f>IF(P47&lt;=[1]Summary!$D$7,"Gallant",IF(N47&lt;[1]Summary!$D$6,"Gradual","Growing"))</f>
        <v>Growing</v>
      </c>
      <c r="P47" s="4">
        <f>RANK(M47,M$5:M$64,0)+COUNTIF(M$5:M47,M47)-1</f>
        <v>20</v>
      </c>
      <c r="Q47" s="5" t="str">
        <f t="shared" si="0"/>
        <v>No change (Growing)</v>
      </c>
      <c r="R47" s="8">
        <f t="shared" si="1"/>
        <v>-10</v>
      </c>
      <c r="S47" s="9">
        <f t="shared" si="2"/>
        <v>-9.9999529999999996</v>
      </c>
    </row>
    <row r="48" spans="1:19" x14ac:dyDescent="0.3">
      <c r="A48" s="4">
        <v>44</v>
      </c>
      <c r="B48" s="4" t="s">
        <v>107</v>
      </c>
      <c r="C48" s="5" t="s">
        <v>108</v>
      </c>
      <c r="D48" s="6">
        <v>8.07</v>
      </c>
      <c r="E48" s="4">
        <f>RANK(D48,D$5:D$64,0)+COUNTIF(D$5:D48,D48)-1</f>
        <v>11</v>
      </c>
      <c r="F48" s="4" t="str">
        <f>IF(E48&lt;=[1]Summary!$D$7,"Gallant",IF(D48&lt;[1]Summary!$D$5,"Gradual","Growing"))</f>
        <v>Growing</v>
      </c>
      <c r="G48" s="7">
        <v>74</v>
      </c>
      <c r="H48" s="7">
        <v>27</v>
      </c>
      <c r="I48" s="4">
        <f>ROUND(H48/[1]Summary!$D$4*100,1)</f>
        <v>90</v>
      </c>
      <c r="J48" s="4" t="str">
        <f>IF(K48&lt;=[1]Summary!$D$7,"Gallant",IF(I48&lt;[1]Summary!$D$6,"Gradual","Growing"))</f>
        <v>Growing</v>
      </c>
      <c r="K48" s="4">
        <f>RANK(H48,H$5:H$64,0)+COUNTIF(H$5:H48,H48)-1</f>
        <v>7</v>
      </c>
      <c r="L48" s="7">
        <v>94</v>
      </c>
      <c r="M48" s="7">
        <v>30</v>
      </c>
      <c r="N48" s="4">
        <f>ROUND(M48/[1]Summary!$D$4*100,1)</f>
        <v>100</v>
      </c>
      <c r="O48" s="4" t="str">
        <f>IF(P48&lt;=[1]Summary!$D$7,"Gallant",IF(N48&lt;[1]Summary!$D$6,"Gradual","Growing"))</f>
        <v>Gallant</v>
      </c>
      <c r="P48" s="4">
        <f>RANK(M48,M$5:M$64,0)+COUNTIF(M$5:M48,M48)-1</f>
        <v>3</v>
      </c>
      <c r="Q48" s="5" t="str">
        <f t="shared" si="0"/>
        <v>Growing &gt; Growing &gt; Gallant</v>
      </c>
      <c r="R48" s="8">
        <f t="shared" si="1"/>
        <v>10</v>
      </c>
      <c r="S48" s="9">
        <f t="shared" si="2"/>
        <v>10.000048</v>
      </c>
    </row>
    <row r="49" spans="1:19" x14ac:dyDescent="0.3">
      <c r="A49" s="4">
        <v>45</v>
      </c>
      <c r="B49" s="4" t="s">
        <v>109</v>
      </c>
      <c r="C49" s="5" t="s">
        <v>110</v>
      </c>
      <c r="D49" s="6">
        <v>5.71</v>
      </c>
      <c r="E49" s="4">
        <f>RANK(D49,D$5:D$64,0)+COUNTIF(D$5:D49,D49)-1</f>
        <v>39</v>
      </c>
      <c r="F49" s="4" t="str">
        <f>IF(E49&lt;=[1]Summary!$D$7,"Gallant",IF(D49&lt;[1]Summary!$D$5,"Gradual","Growing"))</f>
        <v>Growing</v>
      </c>
      <c r="G49" s="7">
        <v>94</v>
      </c>
      <c r="H49" s="7">
        <v>10</v>
      </c>
      <c r="I49" s="4">
        <f>ROUND(H49/[1]Summary!$D$4*100,1)</f>
        <v>33.299999999999997</v>
      </c>
      <c r="J49" s="4" t="str">
        <f>IF(K49&lt;=[1]Summary!$D$7,"Gallant",IF(I49&lt;[1]Summary!$D$6,"Gradual","Growing"))</f>
        <v>Gradual</v>
      </c>
      <c r="K49" s="4">
        <f>RANK(H49,H$5:H$64,0)+COUNTIF(H$5:H49,H49)-1</f>
        <v>55</v>
      </c>
      <c r="L49" s="7">
        <v>83</v>
      </c>
      <c r="M49" s="7">
        <v>7</v>
      </c>
      <c r="N49" s="4">
        <f>ROUND(M49/[1]Summary!$D$4*100,1)</f>
        <v>23.3</v>
      </c>
      <c r="O49" s="4" t="str">
        <f>IF(P49&lt;=[1]Summary!$D$7,"Gallant",IF(N49&lt;[1]Summary!$D$6,"Gradual","Growing"))</f>
        <v>Gradual</v>
      </c>
      <c r="P49" s="4">
        <f>RANK(M49,M$5:M$64,0)+COUNTIF(M$5:M49,M49)-1</f>
        <v>60</v>
      </c>
      <c r="Q49" s="5" t="str">
        <f t="shared" si="0"/>
        <v>Growing &gt; Gradual &gt; Gradual</v>
      </c>
      <c r="R49" s="8">
        <f t="shared" si="1"/>
        <v>-10</v>
      </c>
      <c r="S49" s="9">
        <f t="shared" si="2"/>
        <v>-9.9999509999999994</v>
      </c>
    </row>
    <row r="50" spans="1:19" x14ac:dyDescent="0.3">
      <c r="A50" s="4">
        <v>46</v>
      </c>
      <c r="B50" s="4" t="s">
        <v>111</v>
      </c>
      <c r="C50" s="5" t="s">
        <v>112</v>
      </c>
      <c r="D50" s="6">
        <v>8.57</v>
      </c>
      <c r="E50" s="4">
        <f>RANK(D50,D$5:D$64,0)+COUNTIF(D$5:D50,D50)-1</f>
        <v>10</v>
      </c>
      <c r="F50" s="4" t="str">
        <f>IF(E50&lt;=[1]Summary!$D$7,"Gallant",IF(D50&lt;[1]Summary!$D$5,"Gradual","Growing"))</f>
        <v>Growing</v>
      </c>
      <c r="G50" s="7">
        <v>82</v>
      </c>
      <c r="H50" s="7">
        <v>28</v>
      </c>
      <c r="I50" s="4">
        <f>ROUND(H50/[1]Summary!$D$4*100,1)</f>
        <v>93.3</v>
      </c>
      <c r="J50" s="4" t="str">
        <f>IF(K50&lt;=[1]Summary!$D$7,"Gallant",IF(I50&lt;[1]Summary!$D$6,"Gradual","Growing"))</f>
        <v>Gallant</v>
      </c>
      <c r="K50" s="4">
        <f>RANK(H50,H$5:H$64,0)+COUNTIF(H$5:H50,H50)-1</f>
        <v>5</v>
      </c>
      <c r="L50" s="7">
        <v>98</v>
      </c>
      <c r="M50" s="7">
        <v>27</v>
      </c>
      <c r="N50" s="4">
        <f>ROUND(M50/[1]Summary!$D$4*100,1)</f>
        <v>90</v>
      </c>
      <c r="O50" s="4" t="str">
        <f>IF(P50&lt;=[1]Summary!$D$7,"Gallant",IF(N50&lt;[1]Summary!$D$6,"Gradual","Growing"))</f>
        <v>Growing</v>
      </c>
      <c r="P50" s="4">
        <f>RANK(M50,M$5:M$64,0)+COUNTIF(M$5:M50,M50)-1</f>
        <v>9</v>
      </c>
      <c r="Q50" s="5" t="str">
        <f t="shared" si="0"/>
        <v>Growing &gt; Gallant &gt; Growing</v>
      </c>
      <c r="R50" s="8">
        <f t="shared" si="1"/>
        <v>-3.3</v>
      </c>
      <c r="S50" s="9">
        <f t="shared" si="2"/>
        <v>-3.2999499999999999</v>
      </c>
    </row>
    <row r="51" spans="1:19" x14ac:dyDescent="0.3">
      <c r="A51" s="4">
        <v>47</v>
      </c>
      <c r="B51" s="4" t="s">
        <v>113</v>
      </c>
      <c r="C51" s="5" t="s">
        <v>114</v>
      </c>
      <c r="D51" s="6">
        <v>4.26</v>
      </c>
      <c r="E51" s="4">
        <f>RANK(D51,D$5:D$64,0)+COUNTIF(D$5:D51,D51)-1</f>
        <v>53</v>
      </c>
      <c r="F51" s="4" t="str">
        <f>IF(E51&lt;=[1]Summary!$D$7,"Gallant",IF(D51&lt;[1]Summary!$D$5,"Gradual","Growing"))</f>
        <v>Growing</v>
      </c>
      <c r="G51" s="7">
        <v>77</v>
      </c>
      <c r="H51" s="7">
        <v>14</v>
      </c>
      <c r="I51" s="4">
        <f>ROUND(H51/[1]Summary!$D$4*100,1)</f>
        <v>46.7</v>
      </c>
      <c r="J51" s="4" t="str">
        <f>IF(K51&lt;=[1]Summary!$D$7,"Gallant",IF(I51&lt;[1]Summary!$D$6,"Gradual","Growing"))</f>
        <v>Growing</v>
      </c>
      <c r="K51" s="4">
        <f>RANK(H51,H$5:H$64,0)+COUNTIF(H$5:H51,H51)-1</f>
        <v>43</v>
      </c>
      <c r="L51" s="7">
        <v>83</v>
      </c>
      <c r="M51" s="7">
        <v>11</v>
      </c>
      <c r="N51" s="4">
        <f>ROUND(M51/[1]Summary!$D$4*100,1)</f>
        <v>36.700000000000003</v>
      </c>
      <c r="O51" s="4" t="str">
        <f>IF(P51&lt;=[1]Summary!$D$7,"Gallant",IF(N51&lt;[1]Summary!$D$6,"Gradual","Growing"))</f>
        <v>Gradual</v>
      </c>
      <c r="P51" s="4">
        <f>RANK(M51,M$5:M$64,0)+COUNTIF(M$5:M51,M51)-1</f>
        <v>54</v>
      </c>
      <c r="Q51" s="5" t="str">
        <f t="shared" si="0"/>
        <v>Growing &gt; Growing &gt; Gradual</v>
      </c>
      <c r="R51" s="8">
        <f t="shared" si="1"/>
        <v>-10</v>
      </c>
      <c r="S51" s="9">
        <f t="shared" si="2"/>
        <v>-9.9999490000000009</v>
      </c>
    </row>
    <row r="52" spans="1:19" x14ac:dyDescent="0.3">
      <c r="A52" s="4">
        <v>48</v>
      </c>
      <c r="B52" s="4" t="s">
        <v>115</v>
      </c>
      <c r="C52" s="5" t="s">
        <v>116</v>
      </c>
      <c r="D52" s="6">
        <v>8.58</v>
      </c>
      <c r="E52" s="4">
        <f>RANK(D52,D$5:D$64,0)+COUNTIF(D$5:D52,D52)-1</f>
        <v>9</v>
      </c>
      <c r="F52" s="4" t="str">
        <f>IF(E52&lt;=[1]Summary!$D$7,"Gallant",IF(D52&lt;[1]Summary!$D$5,"Gradual","Growing"))</f>
        <v>Growing</v>
      </c>
      <c r="G52" s="7">
        <v>83</v>
      </c>
      <c r="H52" s="7">
        <v>29</v>
      </c>
      <c r="I52" s="4">
        <f>ROUND(H52/[1]Summary!$D$4*100,1)</f>
        <v>96.7</v>
      </c>
      <c r="J52" s="4" t="str">
        <f>IF(K52&lt;=[1]Summary!$D$7,"Gallant",IF(I52&lt;[1]Summary!$D$6,"Gradual","Growing"))</f>
        <v>Gallant</v>
      </c>
      <c r="K52" s="4">
        <f>RANK(H52,H$5:H$64,0)+COUNTIF(H$5:H52,H52)-1</f>
        <v>4</v>
      </c>
      <c r="L52" s="7">
        <v>98</v>
      </c>
      <c r="M52" s="7">
        <v>30</v>
      </c>
      <c r="N52" s="4">
        <f>ROUND(M52/[1]Summary!$D$4*100,1)</f>
        <v>100</v>
      </c>
      <c r="O52" s="4" t="str">
        <f>IF(P52&lt;=[1]Summary!$D$7,"Gallant",IF(N52&lt;[1]Summary!$D$6,"Gradual","Growing"))</f>
        <v>Gallant</v>
      </c>
      <c r="P52" s="4">
        <f>RANK(M52,M$5:M$64,0)+COUNTIF(M$5:M52,M52)-1</f>
        <v>4</v>
      </c>
      <c r="Q52" s="5" t="str">
        <f t="shared" si="0"/>
        <v>Growing &gt; Gallant &gt; Gallant</v>
      </c>
      <c r="R52" s="8">
        <f t="shared" si="1"/>
        <v>3.3</v>
      </c>
      <c r="S52" s="9">
        <f t="shared" si="2"/>
        <v>3.300052</v>
      </c>
    </row>
    <row r="53" spans="1:19" x14ac:dyDescent="0.3">
      <c r="A53" s="4">
        <v>49</v>
      </c>
      <c r="B53" s="4" t="s">
        <v>117</v>
      </c>
      <c r="C53" s="5" t="s">
        <v>118</v>
      </c>
      <c r="D53" s="6">
        <v>5.32</v>
      </c>
      <c r="E53" s="4">
        <f>RANK(D53,D$5:D$64,0)+COUNTIF(D$5:D53,D53)-1</f>
        <v>43</v>
      </c>
      <c r="F53" s="4" t="str">
        <f>IF(E53&lt;=[1]Summary!$D$7,"Gallant",IF(D53&lt;[1]Summary!$D$5,"Gradual","Growing"))</f>
        <v>Growing</v>
      </c>
      <c r="G53" s="7">
        <v>98</v>
      </c>
      <c r="H53" s="7">
        <v>17</v>
      </c>
      <c r="I53" s="4">
        <f>ROUND(H53/[1]Summary!$D$4*100,1)</f>
        <v>56.7</v>
      </c>
      <c r="J53" s="4" t="str">
        <f>IF(K53&lt;=[1]Summary!$D$7,"Gallant",IF(I53&lt;[1]Summary!$D$6,"Gradual","Growing"))</f>
        <v>Growing</v>
      </c>
      <c r="K53" s="4">
        <f>RANK(H53,H$5:H$64,0)+COUNTIF(H$5:H53,H53)-1</f>
        <v>37</v>
      </c>
      <c r="L53" s="7">
        <v>79</v>
      </c>
      <c r="M53" s="7">
        <v>12</v>
      </c>
      <c r="N53" s="4">
        <f>ROUND(M53/[1]Summary!$D$4*100,1)</f>
        <v>40</v>
      </c>
      <c r="O53" s="4" t="str">
        <f>IF(P53&lt;=[1]Summary!$D$7,"Gallant",IF(N53&lt;[1]Summary!$D$6,"Gradual","Growing"))</f>
        <v>Growing</v>
      </c>
      <c r="P53" s="4">
        <f>RANK(M53,M$5:M$64,0)+COUNTIF(M$5:M53,M53)-1</f>
        <v>53</v>
      </c>
      <c r="Q53" s="5" t="str">
        <f t="shared" si="0"/>
        <v>No change (Growing)</v>
      </c>
      <c r="R53" s="8">
        <f t="shared" si="1"/>
        <v>-16.7</v>
      </c>
      <c r="S53" s="9">
        <f t="shared" si="2"/>
        <v>-16.699946999999998</v>
      </c>
    </row>
    <row r="54" spans="1:19" x14ac:dyDescent="0.3">
      <c r="A54" s="4">
        <v>50</v>
      </c>
      <c r="B54" s="4" t="s">
        <v>119</v>
      </c>
      <c r="C54" s="5" t="s">
        <v>120</v>
      </c>
      <c r="D54" s="6">
        <v>4.96</v>
      </c>
      <c r="E54" s="4">
        <f>RANK(D54,D$5:D$64,0)+COUNTIF(D$5:D54,D54)-1</f>
        <v>46</v>
      </c>
      <c r="F54" s="4" t="str">
        <f>IF(E54&lt;=[1]Summary!$D$7,"Gallant",IF(D54&lt;[1]Summary!$D$5,"Gradual","Growing"))</f>
        <v>Growing</v>
      </c>
      <c r="G54" s="7">
        <v>83</v>
      </c>
      <c r="H54" s="7">
        <v>21</v>
      </c>
      <c r="I54" s="4">
        <f>ROUND(H54/[1]Summary!$D$4*100,1)</f>
        <v>70</v>
      </c>
      <c r="J54" s="4" t="str">
        <f>IF(K54&lt;=[1]Summary!$D$7,"Gallant",IF(I54&lt;[1]Summary!$D$6,"Gradual","Growing"))</f>
        <v>Growing</v>
      </c>
      <c r="K54" s="4">
        <f>RANK(H54,H$5:H$64,0)+COUNTIF(H$5:H54,H54)-1</f>
        <v>24</v>
      </c>
      <c r="L54" s="7">
        <v>80</v>
      </c>
      <c r="M54" s="7">
        <v>18</v>
      </c>
      <c r="N54" s="4">
        <f>ROUND(M54/[1]Summary!$D$4*100,1)</f>
        <v>60</v>
      </c>
      <c r="O54" s="4" t="str">
        <f>IF(P54&lt;=[1]Summary!$D$7,"Gallant",IF(N54&lt;[1]Summary!$D$6,"Gradual","Growing"))</f>
        <v>Growing</v>
      </c>
      <c r="P54" s="4">
        <f>RANK(M54,M$5:M$64,0)+COUNTIF(M$5:M54,M54)-1</f>
        <v>41</v>
      </c>
      <c r="Q54" s="5" t="str">
        <f t="shared" si="0"/>
        <v>No change (Growing)</v>
      </c>
      <c r="R54" s="8">
        <f t="shared" si="1"/>
        <v>-10</v>
      </c>
      <c r="S54" s="9">
        <f t="shared" si="2"/>
        <v>-9.9999459999999996</v>
      </c>
    </row>
    <row r="55" spans="1:19" x14ac:dyDescent="0.3">
      <c r="A55" s="4">
        <v>51</v>
      </c>
      <c r="B55" s="4" t="s">
        <v>121</v>
      </c>
      <c r="C55" s="5" t="s">
        <v>122</v>
      </c>
      <c r="D55" s="6">
        <v>8.7100000000000009</v>
      </c>
      <c r="E55" s="4">
        <f>RANK(D55,D$5:D$64,0)+COUNTIF(D$5:D55,D55)-1</f>
        <v>7</v>
      </c>
      <c r="F55" s="4" t="str">
        <f>IF(E55&lt;=[1]Summary!$D$7,"Gallant",IF(D55&lt;[1]Summary!$D$5,"Gradual","Growing"))</f>
        <v>Growing</v>
      </c>
      <c r="G55" s="7">
        <v>79</v>
      </c>
      <c r="H55" s="7">
        <v>24</v>
      </c>
      <c r="I55" s="4">
        <f>ROUND(H55/[1]Summary!$D$4*100,1)</f>
        <v>80</v>
      </c>
      <c r="J55" s="4" t="str">
        <f>IF(K55&lt;=[1]Summary!$D$7,"Gallant",IF(I55&lt;[1]Summary!$D$6,"Gradual","Growing"))</f>
        <v>Growing</v>
      </c>
      <c r="K55" s="4">
        <f>RANK(H55,H$5:H$64,0)+COUNTIF(H$5:H55,H55)-1</f>
        <v>15</v>
      </c>
      <c r="L55" s="7">
        <v>82</v>
      </c>
      <c r="M55" s="7">
        <v>26</v>
      </c>
      <c r="N55" s="4">
        <f>ROUND(M55/[1]Summary!$D$4*100,1)</f>
        <v>86.7</v>
      </c>
      <c r="O55" s="4" t="str">
        <f>IF(P55&lt;=[1]Summary!$D$7,"Gallant",IF(N55&lt;[1]Summary!$D$6,"Gradual","Growing"))</f>
        <v>Growing</v>
      </c>
      <c r="P55" s="4">
        <f>RANK(M55,M$5:M$64,0)+COUNTIF(M$5:M55,M55)-1</f>
        <v>13</v>
      </c>
      <c r="Q55" s="5" t="str">
        <f t="shared" si="0"/>
        <v>No change (Growing)</v>
      </c>
      <c r="R55" s="8">
        <f t="shared" si="1"/>
        <v>6.7</v>
      </c>
      <c r="S55" s="9">
        <f t="shared" si="2"/>
        <v>6.7000549999999999</v>
      </c>
    </row>
    <row r="56" spans="1:19" x14ac:dyDescent="0.3">
      <c r="A56" s="4">
        <v>52</v>
      </c>
      <c r="B56" s="4" t="s">
        <v>123</v>
      </c>
      <c r="C56" s="5" t="s">
        <v>124</v>
      </c>
      <c r="D56" s="6">
        <v>7.16</v>
      </c>
      <c r="E56" s="4">
        <f>RANK(D56,D$5:D$64,0)+COUNTIF(D$5:D56,D56)-1</f>
        <v>21</v>
      </c>
      <c r="F56" s="4" t="str">
        <f>IF(E56&lt;=[1]Summary!$D$7,"Gallant",IF(D56&lt;[1]Summary!$D$5,"Gradual","Growing"))</f>
        <v>Growing</v>
      </c>
      <c r="G56" s="7">
        <v>92</v>
      </c>
      <c r="H56" s="7">
        <v>20</v>
      </c>
      <c r="I56" s="4">
        <f>ROUND(H56/[1]Summary!$D$4*100,1)</f>
        <v>66.7</v>
      </c>
      <c r="J56" s="4" t="str">
        <f>IF(K56&lt;=[1]Summary!$D$7,"Gallant",IF(I56&lt;[1]Summary!$D$6,"Gradual","Growing"))</f>
        <v>Growing</v>
      </c>
      <c r="K56" s="4">
        <f>RANK(H56,H$5:H$64,0)+COUNTIF(H$5:H56,H56)-1</f>
        <v>27</v>
      </c>
      <c r="L56" s="7">
        <v>81</v>
      </c>
      <c r="M56" s="7">
        <v>24</v>
      </c>
      <c r="N56" s="4">
        <f>ROUND(M56/[1]Summary!$D$4*100,1)</f>
        <v>80</v>
      </c>
      <c r="O56" s="4" t="str">
        <f>IF(P56&lt;=[1]Summary!$D$7,"Gallant",IF(N56&lt;[1]Summary!$D$6,"Gradual","Growing"))</f>
        <v>Growing</v>
      </c>
      <c r="P56" s="4">
        <f>RANK(M56,M$5:M$64,0)+COUNTIF(M$5:M56,M56)-1</f>
        <v>17</v>
      </c>
      <c r="Q56" s="5" t="str">
        <f t="shared" si="0"/>
        <v>No change (Growing)</v>
      </c>
      <c r="R56" s="8">
        <f t="shared" si="1"/>
        <v>13.3</v>
      </c>
      <c r="S56" s="9">
        <f t="shared" si="2"/>
        <v>13.300056000000001</v>
      </c>
    </row>
    <row r="57" spans="1:19" x14ac:dyDescent="0.3">
      <c r="A57" s="4">
        <v>53</v>
      </c>
      <c r="B57" s="4" t="s">
        <v>125</v>
      </c>
      <c r="C57" s="5" t="s">
        <v>126</v>
      </c>
      <c r="D57" s="6">
        <v>6.91</v>
      </c>
      <c r="E57" s="4">
        <f>RANK(D57,D$5:D$64,0)+COUNTIF(D$5:D57,D57)-1</f>
        <v>25</v>
      </c>
      <c r="F57" s="4" t="str">
        <f>IF(E57&lt;=[1]Summary!$D$7,"Gallant",IF(D57&lt;[1]Summary!$D$5,"Gradual","Growing"))</f>
        <v>Growing</v>
      </c>
      <c r="G57" s="7">
        <v>85</v>
      </c>
      <c r="H57" s="7">
        <v>23</v>
      </c>
      <c r="I57" s="4">
        <f>ROUND(H57/[1]Summary!$D$4*100,1)</f>
        <v>76.7</v>
      </c>
      <c r="J57" s="4" t="str">
        <f>IF(K57&lt;=[1]Summary!$D$7,"Gallant",IF(I57&lt;[1]Summary!$D$6,"Gradual","Growing"))</f>
        <v>Growing</v>
      </c>
      <c r="K57" s="4">
        <f>RANK(H57,H$5:H$64,0)+COUNTIF(H$5:H57,H57)-1</f>
        <v>18</v>
      </c>
      <c r="L57" s="7">
        <v>96</v>
      </c>
      <c r="M57" s="7">
        <v>20</v>
      </c>
      <c r="N57" s="4">
        <f>ROUND(M57/[1]Summary!$D$4*100,1)</f>
        <v>66.7</v>
      </c>
      <c r="O57" s="4" t="str">
        <f>IF(P57&lt;=[1]Summary!$D$7,"Gallant",IF(N57&lt;[1]Summary!$D$6,"Gradual","Growing"))</f>
        <v>Growing</v>
      </c>
      <c r="P57" s="4">
        <f>RANK(M57,M$5:M$64,0)+COUNTIF(M$5:M57,M57)-1</f>
        <v>30</v>
      </c>
      <c r="Q57" s="5" t="str">
        <f t="shared" si="0"/>
        <v>No change (Growing)</v>
      </c>
      <c r="R57" s="8">
        <f t="shared" si="1"/>
        <v>-10</v>
      </c>
      <c r="S57" s="9">
        <f t="shared" si="2"/>
        <v>-9.999943</v>
      </c>
    </row>
    <row r="58" spans="1:19" x14ac:dyDescent="0.3">
      <c r="A58" s="4">
        <v>54</v>
      </c>
      <c r="B58" s="4" t="s">
        <v>127</v>
      </c>
      <c r="C58" s="5" t="s">
        <v>128</v>
      </c>
      <c r="D58" s="6">
        <v>5.84</v>
      </c>
      <c r="E58" s="4">
        <f>RANK(D58,D$5:D$64,0)+COUNTIF(D$5:D58,D58)-1</f>
        <v>36</v>
      </c>
      <c r="F58" s="4" t="str">
        <f>IF(E58&lt;=[1]Summary!$D$7,"Gallant",IF(D58&lt;[1]Summary!$D$5,"Gradual","Growing"))</f>
        <v>Growing</v>
      </c>
      <c r="G58" s="7">
        <v>60</v>
      </c>
      <c r="H58" s="7">
        <v>11</v>
      </c>
      <c r="I58" s="4">
        <f>ROUND(H58/[1]Summary!$D$4*100,1)</f>
        <v>36.700000000000003</v>
      </c>
      <c r="J58" s="4" t="str">
        <f>IF(K58&lt;=[1]Summary!$D$7,"Gallant",IF(I58&lt;[1]Summary!$D$6,"Gradual","Growing"))</f>
        <v>Gradual</v>
      </c>
      <c r="K58" s="4">
        <f>RANK(H58,H$5:H$64,0)+COUNTIF(H$5:H58,H58)-1</f>
        <v>52</v>
      </c>
      <c r="L58" s="7">
        <v>76</v>
      </c>
      <c r="M58" s="7">
        <v>15</v>
      </c>
      <c r="N58" s="4">
        <f>ROUND(M58/[1]Summary!$D$4*100,1)</f>
        <v>50</v>
      </c>
      <c r="O58" s="4" t="str">
        <f>IF(P58&lt;=[1]Summary!$D$7,"Gallant",IF(N58&lt;[1]Summary!$D$6,"Gradual","Growing"))</f>
        <v>Growing</v>
      </c>
      <c r="P58" s="4">
        <f>RANK(M58,M$5:M$64,0)+COUNTIF(M$5:M58,M58)-1</f>
        <v>49</v>
      </c>
      <c r="Q58" s="5" t="str">
        <f t="shared" si="0"/>
        <v>Growing &gt; Gradual &gt; Growing</v>
      </c>
      <c r="R58" s="8">
        <f t="shared" si="1"/>
        <v>13.3</v>
      </c>
      <c r="S58" s="9">
        <f t="shared" si="2"/>
        <v>13.300058</v>
      </c>
    </row>
    <row r="59" spans="1:19" x14ac:dyDescent="0.3">
      <c r="A59" s="4">
        <v>55</v>
      </c>
      <c r="B59" s="4" t="s">
        <v>129</v>
      </c>
      <c r="C59" s="5" t="s">
        <v>130</v>
      </c>
      <c r="D59" s="6">
        <v>5.56</v>
      </c>
      <c r="E59" s="4">
        <f>RANK(D59,D$5:D$64,0)+COUNTIF(D$5:D59,D59)-1</f>
        <v>41</v>
      </c>
      <c r="F59" s="4" t="str">
        <f>IF(E59&lt;=[1]Summary!$D$7,"Gallant",IF(D59&lt;[1]Summary!$D$5,"Gradual","Growing"))</f>
        <v>Growing</v>
      </c>
      <c r="G59" s="7">
        <v>75</v>
      </c>
      <c r="H59" s="7">
        <v>18</v>
      </c>
      <c r="I59" s="4">
        <f>ROUND(H59/[1]Summary!$D$4*100,1)</f>
        <v>60</v>
      </c>
      <c r="J59" s="4" t="str">
        <f>IF(K59&lt;=[1]Summary!$D$7,"Gallant",IF(I59&lt;[1]Summary!$D$6,"Gradual","Growing"))</f>
        <v>Growing</v>
      </c>
      <c r="K59" s="4">
        <f>RANK(H59,H$5:H$64,0)+COUNTIF(H$5:H59,H59)-1</f>
        <v>33</v>
      </c>
      <c r="L59" s="7">
        <v>74</v>
      </c>
      <c r="M59" s="7">
        <v>17</v>
      </c>
      <c r="N59" s="4">
        <f>ROUND(M59/[1]Summary!$D$4*100,1)</f>
        <v>56.7</v>
      </c>
      <c r="O59" s="4" t="str">
        <f>IF(P59&lt;=[1]Summary!$D$7,"Gallant",IF(N59&lt;[1]Summary!$D$6,"Gradual","Growing"))</f>
        <v>Growing</v>
      </c>
      <c r="P59" s="4">
        <f>RANK(M59,M$5:M$64,0)+COUNTIF(M$5:M59,M59)-1</f>
        <v>42</v>
      </c>
      <c r="Q59" s="5" t="str">
        <f t="shared" si="0"/>
        <v>No change (Growing)</v>
      </c>
      <c r="R59" s="8">
        <f t="shared" si="1"/>
        <v>-3.3</v>
      </c>
      <c r="S59" s="9">
        <f t="shared" si="2"/>
        <v>-3.299941</v>
      </c>
    </row>
    <row r="60" spans="1:19" x14ac:dyDescent="0.3">
      <c r="A60" s="4">
        <v>56</v>
      </c>
      <c r="B60" s="4" t="s">
        <v>131</v>
      </c>
      <c r="C60" s="5" t="s">
        <v>132</v>
      </c>
      <c r="D60" s="6">
        <v>3.25</v>
      </c>
      <c r="E60" s="4">
        <f>RANK(D60,D$5:D$64,0)+COUNTIF(D$5:D60,D60)-1</f>
        <v>60</v>
      </c>
      <c r="F60" s="4" t="str">
        <f>IF(E60&lt;=[1]Summary!$D$7,"Gallant",IF(D60&lt;[1]Summary!$D$5,"Gradual","Growing"))</f>
        <v>Gradual</v>
      </c>
      <c r="G60" s="7">
        <v>74</v>
      </c>
      <c r="H60" s="7">
        <v>9</v>
      </c>
      <c r="I60" s="4">
        <f>ROUND(H60/[1]Summary!$D$4*100,1)</f>
        <v>30</v>
      </c>
      <c r="J60" s="4" t="str">
        <f>IF(K60&lt;=[1]Summary!$D$7,"Gallant",IF(I60&lt;[1]Summary!$D$6,"Gradual","Growing"))</f>
        <v>Gradual</v>
      </c>
      <c r="K60" s="4">
        <f>RANK(H60,H$5:H$64,0)+COUNTIF(H$5:H60,H60)-1</f>
        <v>57</v>
      </c>
      <c r="L60" s="7">
        <v>81</v>
      </c>
      <c r="M60" s="7">
        <v>10</v>
      </c>
      <c r="N60" s="4">
        <f>ROUND(M60/[1]Summary!$D$4*100,1)</f>
        <v>33.299999999999997</v>
      </c>
      <c r="O60" s="4" t="str">
        <f>IF(P60&lt;=[1]Summary!$D$7,"Gallant",IF(N60&lt;[1]Summary!$D$6,"Gradual","Growing"))</f>
        <v>Gradual</v>
      </c>
      <c r="P60" s="4">
        <f>RANK(M60,M$5:M$64,0)+COUNTIF(M$5:M60,M60)-1</f>
        <v>58</v>
      </c>
      <c r="Q60" s="5" t="str">
        <f t="shared" si="0"/>
        <v>No change (Gradual)</v>
      </c>
      <c r="R60" s="8">
        <f t="shared" si="1"/>
        <v>3.3</v>
      </c>
      <c r="S60" s="9">
        <f t="shared" si="2"/>
        <v>3.3000599999999998</v>
      </c>
    </row>
    <row r="61" spans="1:19" x14ac:dyDescent="0.3">
      <c r="A61" s="4">
        <v>57</v>
      </c>
      <c r="B61" s="4" t="s">
        <v>133</v>
      </c>
      <c r="C61" s="5" t="s">
        <v>134</v>
      </c>
      <c r="D61" s="6">
        <v>5.54</v>
      </c>
      <c r="E61" s="4">
        <f>RANK(D61,D$5:D$64,0)+COUNTIF(D$5:D61,D61)-1</f>
        <v>42</v>
      </c>
      <c r="F61" s="4" t="str">
        <f>IF(E61&lt;=[1]Summary!$D$7,"Gallant",IF(D61&lt;[1]Summary!$D$5,"Gradual","Growing"))</f>
        <v>Growing</v>
      </c>
      <c r="G61" s="7">
        <v>79</v>
      </c>
      <c r="H61" s="7">
        <v>20</v>
      </c>
      <c r="I61" s="4">
        <f>ROUND(H61/[1]Summary!$D$4*100,1)</f>
        <v>66.7</v>
      </c>
      <c r="J61" s="4" t="str">
        <f>IF(K61&lt;=[1]Summary!$D$7,"Gallant",IF(I61&lt;[1]Summary!$D$6,"Gradual","Growing"))</f>
        <v>Growing</v>
      </c>
      <c r="K61" s="4">
        <f>RANK(H61,H$5:H$64,0)+COUNTIF(H$5:H61,H61)-1</f>
        <v>28</v>
      </c>
      <c r="L61" s="7">
        <v>83</v>
      </c>
      <c r="M61" s="7">
        <v>17</v>
      </c>
      <c r="N61" s="4">
        <f>ROUND(M61/[1]Summary!$D$4*100,1)</f>
        <v>56.7</v>
      </c>
      <c r="O61" s="4" t="str">
        <f>IF(P61&lt;=[1]Summary!$D$7,"Gallant",IF(N61&lt;[1]Summary!$D$6,"Gradual","Growing"))</f>
        <v>Growing</v>
      </c>
      <c r="P61" s="4">
        <f>RANK(M61,M$5:M$64,0)+COUNTIF(M$5:M61,M61)-1</f>
        <v>43</v>
      </c>
      <c r="Q61" s="5" t="str">
        <f t="shared" si="0"/>
        <v>No change (Growing)</v>
      </c>
      <c r="R61" s="8">
        <f t="shared" si="1"/>
        <v>-10</v>
      </c>
      <c r="S61" s="9">
        <f t="shared" si="2"/>
        <v>-9.9999389999999995</v>
      </c>
    </row>
    <row r="62" spans="1:19" x14ac:dyDescent="0.3">
      <c r="A62" s="4">
        <v>58</v>
      </c>
      <c r="B62" s="4" t="s">
        <v>135</v>
      </c>
      <c r="C62" s="5" t="s">
        <v>136</v>
      </c>
      <c r="D62" s="6">
        <v>5.96</v>
      </c>
      <c r="E62" s="4">
        <f>RANK(D62,D$5:D$64,0)+COUNTIF(D$5:D62,D62)-1</f>
        <v>35</v>
      </c>
      <c r="F62" s="4" t="str">
        <f>IF(E62&lt;=[1]Summary!$D$7,"Gallant",IF(D62&lt;[1]Summary!$D$5,"Gradual","Growing"))</f>
        <v>Growing</v>
      </c>
      <c r="G62" s="7">
        <v>95</v>
      </c>
      <c r="H62" s="7">
        <v>24</v>
      </c>
      <c r="I62" s="4">
        <f>ROUND(H62/[1]Summary!$D$4*100,1)</f>
        <v>80</v>
      </c>
      <c r="J62" s="4" t="str">
        <f>IF(K62&lt;=[1]Summary!$D$7,"Gallant",IF(I62&lt;[1]Summary!$D$6,"Gradual","Growing"))</f>
        <v>Growing</v>
      </c>
      <c r="K62" s="4">
        <f>RANK(H62,H$5:H$64,0)+COUNTIF(H$5:H62,H62)-1</f>
        <v>16</v>
      </c>
      <c r="L62" s="7">
        <v>83</v>
      </c>
      <c r="M62" s="7">
        <v>26</v>
      </c>
      <c r="N62" s="4">
        <f>ROUND(M62/[1]Summary!$D$4*100,1)</f>
        <v>86.7</v>
      </c>
      <c r="O62" s="4" t="str">
        <f>IF(P62&lt;=[1]Summary!$D$7,"Gallant",IF(N62&lt;[1]Summary!$D$6,"Gradual","Growing"))</f>
        <v>Growing</v>
      </c>
      <c r="P62" s="4">
        <f>RANK(M62,M$5:M$64,0)+COUNTIF(M$5:M62,M62)-1</f>
        <v>14</v>
      </c>
      <c r="Q62" s="5" t="str">
        <f t="shared" si="0"/>
        <v>No change (Growing)</v>
      </c>
      <c r="R62" s="8">
        <f t="shared" si="1"/>
        <v>6.7</v>
      </c>
      <c r="S62" s="9">
        <f t="shared" si="2"/>
        <v>6.700062</v>
      </c>
    </row>
    <row r="63" spans="1:19" x14ac:dyDescent="0.3">
      <c r="A63" s="4">
        <v>59</v>
      </c>
      <c r="B63" s="4" t="s">
        <v>137</v>
      </c>
      <c r="C63" s="5" t="s">
        <v>138</v>
      </c>
      <c r="D63" s="6">
        <v>4.43</v>
      </c>
      <c r="E63" s="4">
        <f>RANK(D63,D$5:D$64,0)+COUNTIF(D$5:D63,D63)-1</f>
        <v>52</v>
      </c>
      <c r="F63" s="4" t="str">
        <f>IF(E63&lt;=[1]Summary!$D$7,"Gallant",IF(D63&lt;[1]Summary!$D$5,"Gradual","Growing"))</f>
        <v>Growing</v>
      </c>
      <c r="G63" s="7">
        <v>85</v>
      </c>
      <c r="H63" s="7">
        <v>13</v>
      </c>
      <c r="I63" s="4">
        <f>ROUND(H63/[1]Summary!$D$4*100,1)</f>
        <v>43.3</v>
      </c>
      <c r="J63" s="4" t="str">
        <f>IF(K63&lt;=[1]Summary!$D$7,"Gallant",IF(I63&lt;[1]Summary!$D$6,"Gradual","Growing"))</f>
        <v>Growing</v>
      </c>
      <c r="K63" s="4">
        <f>RANK(H63,H$5:H$64,0)+COUNTIF(H$5:H63,H63)-1</f>
        <v>45</v>
      </c>
      <c r="L63" s="7">
        <v>94</v>
      </c>
      <c r="M63" s="7">
        <v>14</v>
      </c>
      <c r="N63" s="4">
        <f>ROUND(M63/[1]Summary!$D$4*100,1)</f>
        <v>46.7</v>
      </c>
      <c r="O63" s="4" t="str">
        <f>IF(P63&lt;=[1]Summary!$D$7,"Gallant",IF(N63&lt;[1]Summary!$D$6,"Gradual","Growing"))</f>
        <v>Growing</v>
      </c>
      <c r="P63" s="4">
        <f>RANK(M63,M$5:M$64,0)+COUNTIF(M$5:M63,M63)-1</f>
        <v>52</v>
      </c>
      <c r="Q63" s="5" t="str">
        <f t="shared" si="0"/>
        <v>No change (Growing)</v>
      </c>
      <c r="R63" s="8">
        <f t="shared" si="1"/>
        <v>3.4</v>
      </c>
      <c r="S63" s="9">
        <f t="shared" si="2"/>
        <v>3.4000629999999998</v>
      </c>
    </row>
    <row r="64" spans="1:19" x14ac:dyDescent="0.3">
      <c r="A64" s="4">
        <v>60</v>
      </c>
      <c r="B64" s="4" t="s">
        <v>139</v>
      </c>
      <c r="C64" s="5" t="s">
        <v>140</v>
      </c>
      <c r="D64" s="6">
        <v>4.08</v>
      </c>
      <c r="E64" s="4">
        <f>RANK(D64,D$5:D$64,0)+COUNTIF(D$5:D64,D64)-1</f>
        <v>55</v>
      </c>
      <c r="F64" s="4" t="str">
        <f>IF(E64&lt;=[1]Summary!$D$7,"Gallant",IF(D64&lt;[1]Summary!$D$5,"Gradual","Growing"))</f>
        <v>Growing</v>
      </c>
      <c r="G64" s="7">
        <v>77</v>
      </c>
      <c r="H64" s="7">
        <v>8</v>
      </c>
      <c r="I64" s="4">
        <f>ROUND(H64/[1]Summary!$D$4*100,1)</f>
        <v>26.7</v>
      </c>
      <c r="J64" s="4" t="str">
        <f>IF(K64&lt;=[1]Summary!$D$7,"Gallant",IF(I64&lt;[1]Summary!$D$6,"Gradual","Growing"))</f>
        <v>Gradual</v>
      </c>
      <c r="K64" s="4">
        <f>RANK(H64,H$5:H$64,0)+COUNTIF(H$5:H64,H64)-1</f>
        <v>59</v>
      </c>
      <c r="L64" s="7">
        <v>89</v>
      </c>
      <c r="M64" s="7">
        <v>16</v>
      </c>
      <c r="N64" s="4">
        <f>ROUND(M64/[1]Summary!$D$4*100,1)</f>
        <v>53.3</v>
      </c>
      <c r="O64" s="4" t="str">
        <f>IF(P64&lt;=[1]Summary!$D$7,"Gallant",IF(N64&lt;[1]Summary!$D$6,"Gradual","Growing"))</f>
        <v>Growing</v>
      </c>
      <c r="P64" s="4">
        <f>RANK(M64,M$5:M$64,0)+COUNTIF(M$5:M64,M64)-1</f>
        <v>47</v>
      </c>
      <c r="Q64" s="5" t="str">
        <f t="shared" si="0"/>
        <v>Growing &gt; Gradual &gt; Growing</v>
      </c>
      <c r="R64" s="8">
        <f t="shared" si="1"/>
        <v>26.6</v>
      </c>
      <c r="S64" s="9">
        <f t="shared" si="2"/>
        <v>26.600064</v>
      </c>
    </row>
  </sheetData>
  <autoFilter ref="A4:R6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Singh</dc:creator>
  <cp:lastModifiedBy>Hemant Singh</cp:lastModifiedBy>
  <dcterms:created xsi:type="dcterms:W3CDTF">2026-10-05T17:24:40Z</dcterms:created>
  <dcterms:modified xsi:type="dcterms:W3CDTF">2026-10-05T17:25:08Z</dcterms:modified>
</cp:coreProperties>
</file>